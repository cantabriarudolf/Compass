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gresos" sheetId="1" state="visible" r:id="rId3"/>
    <sheet name="Egresos" sheetId="2" state="visible" r:id="rId4"/>
    <sheet name="Saldo CC" sheetId="3" state="visible" r:id="rId5"/>
  </sheets>
  <definedNames>
    <definedName function="false" hidden="true" localSheetId="1" name="_xlnm._FilterDatabase" vbProcedure="false">Egresos!$A$1:$F$187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1:1048576"/>
    </sheetView>
  </sheetViews>
  <sheetFormatPr defaultColWidth="11.53515625" defaultRowHeight="15.75" zeroHeight="false" outlineLevelRow="0" outlineLevelCol="0"/>
  <cols>
    <col collapsed="false" customWidth="true" hidden="false" outlineLevel="0" max="3" min="3" style="0" width="22.16"/>
    <col collapsed="false" customWidth="true" hidden="false" outlineLevel="0" max="4" min="4" style="0" width="18.41"/>
    <col collapsed="false" customWidth="true" hidden="false" outlineLevel="0" max="5" min="5" style="0" width="11.86"/>
    <col collapsed="false" customWidth="true" hidden="false" outlineLevel="0" max="6" min="6" style="0" width="6.02"/>
  </cols>
  <sheetData>
    <row r="1" customFormat="false" ht="15.75" hidden="false" customHeight="false" outlineLevel="0" collapsed="false">
      <c r="A1" s="1" t="str">
        <f aca="false">IFERROR(__xludf.dummyfunction("IMPORTRANGE(""https://docs.google.com/spreadsheets/d/1WFEArRp_km_Lbi8km6SAcc5MMoPz9_5l0-qlUR7_j98"",""Ingresos!A1:F555"")"),"Fecha")</f>
        <v>Fecha</v>
      </c>
      <c r="B1" s="1" t="str">
        <f aca="false">IFERROR(__xludf.dummyfunction("""COMPUTED_VALUE"""),"Monto")</f>
        <v>Monto</v>
      </c>
      <c r="C1" s="1" t="str">
        <f aca="false">IFERROR(__xludf.dummyfunction("""COMPUTED_VALUE"""),"Concepto")</f>
        <v>Concepto</v>
      </c>
      <c r="D1" s="1" t="str">
        <f aca="false">IFERROR(__xludf.dummyfunction("""COMPUTED_VALUE"""),"Famila")</f>
        <v>Famila</v>
      </c>
      <c r="E1" s="1" t="str">
        <f aca="false">IFERROR(__xludf.dummyfunction("""COMPUTED_VALUE"""),"Mes")</f>
        <v>Mes</v>
      </c>
      <c r="F1" s="1" t="str">
        <f aca="false">IFERROR(__xludf.dummyfunction("""COMPUTED_VALUE"""),"Año")</f>
        <v>Año</v>
      </c>
    </row>
    <row r="2" customFormat="false" ht="15.75" hidden="false" customHeight="false" outlineLevel="0" collapsed="false">
      <c r="A2" s="2" t="str">
        <f aca="false">IFERROR(__xludf.dummyfunction("""COMPUTED_VALUE"""),"28/02/2024")</f>
        <v>28/02/2024</v>
      </c>
      <c r="B2" s="2" t="n">
        <f aca="false">IFERROR(__xludf.dummyfunction("""COMPUTED_VALUE"""),1758000)</f>
        <v>1758000</v>
      </c>
      <c r="C2" s="1" t="str">
        <f aca="false">IFERROR(__xludf.dummyfunction("""COMPUTED_VALUE"""),"Gastos Comunes")</f>
        <v>Gastos Comunes</v>
      </c>
      <c r="D2" s="1" t="str">
        <f aca="false">IFERROR(__xludf.dummyfunction("""COMPUTED_VALUE"""),"Contribuciones")</f>
        <v>Contribuciones</v>
      </c>
      <c r="E2" s="1" t="str">
        <f aca="false">IFERROR(__xludf.dummyfunction("""COMPUTED_VALUE"""),"Febrero")</f>
        <v>Febrero</v>
      </c>
      <c r="F2" s="1" t="n">
        <f aca="false">IFERROR(__xludf.dummyfunction("""COMPUTED_VALUE"""),2024)</f>
        <v>2024</v>
      </c>
    </row>
    <row r="3" customFormat="false" ht="15.75" hidden="false" customHeight="false" outlineLevel="0" collapsed="false">
      <c r="A3" s="2" t="str">
        <f aca="false">IFERROR(__xludf.dummyfunction("""COMPUTED_VALUE"""),"30/04/2024")</f>
        <v>30/04/2024</v>
      </c>
      <c r="B3" s="2" t="n">
        <f aca="false">IFERROR(__xludf.dummyfunction("""COMPUTED_VALUE"""),2067000)</f>
        <v>2067000</v>
      </c>
      <c r="C3" s="1" t="str">
        <f aca="false">IFERROR(__xludf.dummyfunction("""COMPUTED_VALUE"""),"Gastos Comunes")</f>
        <v>Gastos Comunes</v>
      </c>
      <c r="D3" s="1" t="str">
        <f aca="false">IFERROR(__xludf.dummyfunction("""COMPUTED_VALUE"""),"Contribuciones")</f>
        <v>Contribuciones</v>
      </c>
      <c r="E3" s="1" t="str">
        <f aca="false">IFERROR(__xludf.dummyfunction("""COMPUTED_VALUE"""),"Abril")</f>
        <v>Abril</v>
      </c>
      <c r="F3" s="1" t="n">
        <f aca="false">IFERROR(__xludf.dummyfunction("""COMPUTED_VALUE"""),2024)</f>
        <v>2024</v>
      </c>
    </row>
    <row r="4" customFormat="false" ht="15.75" hidden="false" customHeight="false" outlineLevel="0" collapsed="false">
      <c r="A4" s="2" t="str">
        <f aca="false">IFERROR(__xludf.dummyfunction("""COMPUTED_VALUE"""),"30/04/2024")</f>
        <v>30/04/2024</v>
      </c>
      <c r="B4" s="2" t="n">
        <f aca="false">IFERROR(__xludf.dummyfunction("""COMPUTED_VALUE"""),11000)</f>
        <v>11000</v>
      </c>
      <c r="C4" s="1" t="str">
        <f aca="false">IFERROR(__xludf.dummyfunction("""COMPUTED_VALUE"""),"Fondo de Reserva")</f>
        <v>Fondo de Reserva</v>
      </c>
      <c r="D4" s="1" t="str">
        <f aca="false">IFERROR(__xludf.dummyfunction("""COMPUTED_VALUE"""),"Fondo de Reserva")</f>
        <v>Fondo de Reserva</v>
      </c>
      <c r="E4" s="1" t="str">
        <f aca="false">IFERROR(__xludf.dummyfunction("""COMPUTED_VALUE"""),"Abril")</f>
        <v>Abril</v>
      </c>
      <c r="F4" s="1" t="n">
        <f aca="false">IFERROR(__xludf.dummyfunction("""COMPUTED_VALUE"""),2024)</f>
        <v>2024</v>
      </c>
    </row>
    <row r="5" customFormat="false" ht="15.75" hidden="false" customHeight="false" outlineLevel="0" collapsed="false">
      <c r="A5" s="2" t="str">
        <f aca="false">IFERROR(__xludf.dummyfunction("""COMPUTED_VALUE"""),"30/04/2024")</f>
        <v>30/04/2024</v>
      </c>
      <c r="B5" s="2" t="n">
        <f aca="false">IFERROR(__xludf.dummyfunction("""COMPUTED_VALUE"""),0)</f>
        <v>0</v>
      </c>
      <c r="C5" s="1" t="str">
        <f aca="false">IFERROR(__xludf.dummyfunction("""COMPUTED_VALUE"""),"Gastos Comunes")</f>
        <v>Gastos Comunes</v>
      </c>
      <c r="D5" s="1" t="str">
        <f aca="false">IFERROR(__xludf.dummyfunction("""COMPUTED_VALUE"""),"Multas")</f>
        <v>Multas</v>
      </c>
      <c r="E5" s="1" t="str">
        <f aca="false">IFERROR(__xludf.dummyfunction("""COMPUTED_VALUE"""),"Abril")</f>
        <v>Abril</v>
      </c>
      <c r="F5" s="1" t="n">
        <f aca="false">IFERROR(__xludf.dummyfunction("""COMPUTED_VALUE"""),2024)</f>
        <v>2024</v>
      </c>
    </row>
    <row r="6" customFormat="false" ht="15.75" hidden="false" customHeight="false" outlineLevel="0" collapsed="false">
      <c r="A6" s="2" t="str">
        <f aca="false">IFERROR(__xludf.dummyfunction("""COMPUTED_VALUE"""),"30/06/2024")</f>
        <v>30/06/2024</v>
      </c>
      <c r="B6" s="2" t="n">
        <f aca="false">IFERROR(__xludf.dummyfunction("""COMPUTED_VALUE"""),2466000)</f>
        <v>2466000</v>
      </c>
      <c r="C6" s="1" t="str">
        <f aca="false">IFERROR(__xludf.dummyfunction("""COMPUTED_VALUE"""),"Gastos Comunes")</f>
        <v>Gastos Comunes</v>
      </c>
      <c r="D6" s="1" t="str">
        <f aca="false">IFERROR(__xludf.dummyfunction("""COMPUTED_VALUE"""),"Contribuciones")</f>
        <v>Contribuciones</v>
      </c>
      <c r="E6" s="1" t="str">
        <f aca="false">IFERROR(__xludf.dummyfunction("""COMPUTED_VALUE"""),"Junio")</f>
        <v>Junio</v>
      </c>
      <c r="F6" s="1" t="n">
        <f aca="false">IFERROR(__xludf.dummyfunction("""COMPUTED_VALUE"""),2024)</f>
        <v>2024</v>
      </c>
    </row>
    <row r="7" customFormat="false" ht="15.75" hidden="false" customHeight="false" outlineLevel="0" collapsed="false">
      <c r="A7" s="2" t="str">
        <f aca="false">IFERROR(__xludf.dummyfunction("""COMPUTED_VALUE"""),"30/06/2024")</f>
        <v>30/06/2024</v>
      </c>
      <c r="B7" s="2" t="n">
        <f aca="false">IFERROR(__xludf.dummyfunction("""COMPUTED_VALUE"""),13000)</f>
        <v>13000</v>
      </c>
      <c r="C7" s="1" t="str">
        <f aca="false">IFERROR(__xludf.dummyfunction("""COMPUTED_VALUE"""),"Fondo de Reserva")</f>
        <v>Fondo de Reserva</v>
      </c>
      <c r="D7" s="1" t="str">
        <f aca="false">IFERROR(__xludf.dummyfunction("""COMPUTED_VALUE"""),"Fondo de Reserva")</f>
        <v>Fondo de Reserva</v>
      </c>
      <c r="E7" s="1" t="str">
        <f aca="false">IFERROR(__xludf.dummyfunction("""COMPUTED_VALUE"""),"Junio")</f>
        <v>Junio</v>
      </c>
      <c r="F7" s="1" t="n">
        <f aca="false">IFERROR(__xludf.dummyfunction("""COMPUTED_VALUE"""),2024)</f>
        <v>2024</v>
      </c>
    </row>
    <row r="8" customFormat="false" ht="15.75" hidden="false" customHeight="false" outlineLevel="0" collapsed="false">
      <c r="A8" s="2" t="str">
        <f aca="false">IFERROR(__xludf.dummyfunction("""COMPUTED_VALUE"""),"30/06/2024")</f>
        <v>30/06/2024</v>
      </c>
      <c r="B8" s="2" t="n">
        <f aca="false">IFERROR(__xludf.dummyfunction("""COMPUTED_VALUE"""),90000)</f>
        <v>90000</v>
      </c>
      <c r="C8" s="1" t="str">
        <f aca="false">IFERROR(__xludf.dummyfunction("""COMPUTED_VALUE"""),"Fondo Proyecto")</f>
        <v>Fondo Proyecto</v>
      </c>
      <c r="D8" s="1" t="str">
        <f aca="false">IFERROR(__xludf.dummyfunction("""COMPUTED_VALUE"""),"Otros Ingresos")</f>
        <v>Otros Ingresos</v>
      </c>
      <c r="E8" s="1" t="str">
        <f aca="false">IFERROR(__xludf.dummyfunction("""COMPUTED_VALUE"""),"Junio")</f>
        <v>Junio</v>
      </c>
      <c r="F8" s="1" t="n">
        <f aca="false">IFERROR(__xludf.dummyfunction("""COMPUTED_VALUE"""),2024)</f>
        <v>2024</v>
      </c>
    </row>
    <row r="9" customFormat="false" ht="15.75" hidden="false" customHeight="false" outlineLevel="0" collapsed="false">
      <c r="A9" s="2" t="str">
        <f aca="false">IFERROR(__xludf.dummyfunction("""COMPUTED_VALUE"""),"30/09/2023")</f>
        <v>30/09/2023</v>
      </c>
      <c r="B9" s="2" t="n">
        <f aca="false">IFERROR(__xludf.dummyfunction("""COMPUTED_VALUE"""),1937000)</f>
        <v>1937000</v>
      </c>
      <c r="C9" s="1" t="str">
        <f aca="false">IFERROR(__xludf.dummyfunction("""COMPUTED_VALUE"""),"Gastos Comunes")</f>
        <v>Gastos Comunes</v>
      </c>
      <c r="D9" s="1" t="str">
        <f aca="false">IFERROR(__xludf.dummyfunction("""COMPUTED_VALUE"""),"Contribuciones")</f>
        <v>Contribuciones</v>
      </c>
      <c r="E9" s="1" t="str">
        <f aca="false">IFERROR(__xludf.dummyfunction("""COMPUTED_VALUE"""),"Septiembre")</f>
        <v>Septiembre</v>
      </c>
      <c r="F9" s="1" t="n">
        <f aca="false">IFERROR(__xludf.dummyfunction("""COMPUTED_VALUE"""),2023)</f>
        <v>2023</v>
      </c>
    </row>
    <row r="10" customFormat="false" ht="15.75" hidden="false" customHeight="false" outlineLevel="0" collapsed="false">
      <c r="A10" s="2" t="str">
        <f aca="false">IFERROR(__xludf.dummyfunction("""COMPUTED_VALUE"""),"30/09/2023")</f>
        <v>30/09/2023</v>
      </c>
      <c r="B10" s="2" t="n">
        <f aca="false">IFERROR(__xludf.dummyfunction("""COMPUTED_VALUE"""),305000)</f>
        <v>305000</v>
      </c>
      <c r="C10" s="1" t="str">
        <f aca="false">IFERROR(__xludf.dummyfunction("""COMPUTED_VALUE"""),"Fondo de Reserva")</f>
        <v>Fondo de Reserva</v>
      </c>
      <c r="D10" s="1" t="str">
        <f aca="false">IFERROR(__xludf.dummyfunction("""COMPUTED_VALUE"""),"Fondo de Reserva")</f>
        <v>Fondo de Reserva</v>
      </c>
      <c r="E10" s="1" t="str">
        <f aca="false">IFERROR(__xludf.dummyfunction("""COMPUTED_VALUE"""),"Septiembre")</f>
        <v>Septiembre</v>
      </c>
      <c r="F10" s="1" t="n">
        <f aca="false">IFERROR(__xludf.dummyfunction("""COMPUTED_VALUE"""),2023)</f>
        <v>2023</v>
      </c>
    </row>
    <row r="11" customFormat="false" ht="15.75" hidden="false" customHeight="false" outlineLevel="0" collapsed="false">
      <c r="A11" s="2" t="str">
        <f aca="false">IFERROR(__xludf.dummyfunction("""COMPUTED_VALUE"""),"30/09/2023")</f>
        <v>30/09/2023</v>
      </c>
      <c r="B11" s="2" t="n">
        <f aca="false">IFERROR(__xludf.dummyfunction("""COMPUTED_VALUE"""),873017)</f>
        <v>873017</v>
      </c>
      <c r="C11" s="1" t="str">
        <f aca="false">IFERROR(__xludf.dummyfunction("""COMPUTED_VALUE"""),"Pago Daño Portón")</f>
        <v>Pago Daño Portón</v>
      </c>
      <c r="D11" s="1" t="str">
        <f aca="false">IFERROR(__xludf.dummyfunction("""COMPUTED_VALUE"""),"Otros Ingresos")</f>
        <v>Otros Ingresos</v>
      </c>
      <c r="E11" s="1" t="str">
        <f aca="false">IFERROR(__xludf.dummyfunction("""COMPUTED_VALUE"""),"Septiembre")</f>
        <v>Septiembre</v>
      </c>
      <c r="F11" s="1" t="n">
        <f aca="false">IFERROR(__xludf.dummyfunction("""COMPUTED_VALUE"""),2023)</f>
        <v>2023</v>
      </c>
    </row>
    <row r="12" customFormat="false" ht="15.75" hidden="false" customHeight="false" outlineLevel="0" collapsed="false">
      <c r="A12" s="1" t="str">
        <f aca="false">IFERROR(__xludf.dummyfunction("""COMPUTED_VALUE"""),"30/09/2024")</f>
        <v>30/09/2024</v>
      </c>
      <c r="B12" s="2" t="n">
        <f aca="false">IFERROR(__xludf.dummyfunction("""COMPUTED_VALUE"""),2867000)</f>
        <v>2867000</v>
      </c>
      <c r="C12" s="1" t="str">
        <f aca="false">IFERROR(__xludf.dummyfunction("""COMPUTED_VALUE"""),"Gastos Comunes")</f>
        <v>Gastos Comunes</v>
      </c>
      <c r="D12" s="1" t="str">
        <f aca="false">IFERROR(__xludf.dummyfunction("""COMPUTED_VALUE"""),"Contribuciones")</f>
        <v>Contribuciones</v>
      </c>
      <c r="E12" s="1" t="str">
        <f aca="false">IFERROR(__xludf.dummyfunction("""COMPUTED_VALUE"""),"Septiembre")</f>
        <v>Septiembre</v>
      </c>
      <c r="F12" s="1" t="n">
        <f aca="false">IFERROR(__xludf.dummyfunction("""COMPUTED_VALUE"""),2024)</f>
        <v>2024</v>
      </c>
    </row>
    <row r="13" customFormat="false" ht="15.75" hidden="false" customHeight="false" outlineLevel="0" collapsed="false">
      <c r="A13" s="1" t="str">
        <f aca="false">IFERROR(__xludf.dummyfunction("""COMPUTED_VALUE"""),"30/09/2024")</f>
        <v>30/09/2024</v>
      </c>
      <c r="B13" s="2" t="n">
        <f aca="false">IFERROR(__xludf.dummyfunction("""COMPUTED_VALUE"""),689500)</f>
        <v>689500</v>
      </c>
      <c r="C13" s="1" t="str">
        <f aca="false">IFERROR(__xludf.dummyfunction("""COMPUTED_VALUE"""),"Otros Ingresos")</f>
        <v>Otros Ingresos</v>
      </c>
      <c r="D13" s="1" t="str">
        <f aca="false">IFERROR(__xludf.dummyfunction("""COMPUTED_VALUE"""),"Otros Ingresos")</f>
        <v>Otros Ingresos</v>
      </c>
      <c r="E13" s="1" t="str">
        <f aca="false">IFERROR(__xludf.dummyfunction("""COMPUTED_VALUE"""),"Septiembre")</f>
        <v>Septiembre</v>
      </c>
      <c r="F13" s="1" t="n">
        <f aca="false">IFERROR(__xludf.dummyfunction("""COMPUTED_VALUE"""),2024)</f>
        <v>2024</v>
      </c>
    </row>
    <row r="14" customFormat="false" ht="15.75" hidden="false" customHeight="false" outlineLevel="0" collapsed="false">
      <c r="A14" s="2" t="str">
        <f aca="false">IFERROR(__xludf.dummyfunction("""COMPUTED_VALUE"""),"30/11/2023")</f>
        <v>30/11/2023</v>
      </c>
      <c r="B14" s="2" t="n">
        <f aca="false">IFERROR(__xludf.dummyfunction("""COMPUTED_VALUE"""),2389000)</f>
        <v>2389000</v>
      </c>
      <c r="C14" s="1" t="str">
        <f aca="false">IFERROR(__xludf.dummyfunction("""COMPUTED_VALUE"""),"Gastos Comunes")</f>
        <v>Gastos Comunes</v>
      </c>
      <c r="D14" s="1" t="str">
        <f aca="false">IFERROR(__xludf.dummyfunction("""COMPUTED_VALUE"""),"Contribuciones")</f>
        <v>Contribuciones</v>
      </c>
      <c r="E14" s="1" t="str">
        <f aca="false">IFERROR(__xludf.dummyfunction("""COMPUTED_VALUE"""),"Noviembre")</f>
        <v>Noviembre</v>
      </c>
      <c r="F14" s="1" t="n">
        <f aca="false">IFERROR(__xludf.dummyfunction("""COMPUTED_VALUE"""),2023)</f>
        <v>2023</v>
      </c>
    </row>
    <row r="15" customFormat="false" ht="15.75" hidden="false" customHeight="false" outlineLevel="0" collapsed="false">
      <c r="A15" s="2" t="str">
        <f aca="false">IFERROR(__xludf.dummyfunction("""COMPUTED_VALUE"""),"30/11/2023")</f>
        <v>30/11/2023</v>
      </c>
      <c r="B15" s="2" t="n">
        <f aca="false">IFERROR(__xludf.dummyfunction("""COMPUTED_VALUE"""),226000)</f>
        <v>226000</v>
      </c>
      <c r="C15" s="1" t="str">
        <f aca="false">IFERROR(__xludf.dummyfunction("""COMPUTED_VALUE"""),"Fondo de Reserva")</f>
        <v>Fondo de Reserva</v>
      </c>
      <c r="D15" s="1" t="str">
        <f aca="false">IFERROR(__xludf.dummyfunction("""COMPUTED_VALUE"""),"Fondo de Reserva")</f>
        <v>Fondo de Reserva</v>
      </c>
      <c r="E15" s="1" t="str">
        <f aca="false">IFERROR(__xludf.dummyfunction("""COMPUTED_VALUE"""),"Noviembre")</f>
        <v>Noviembre</v>
      </c>
      <c r="F15" s="1" t="n">
        <f aca="false">IFERROR(__xludf.dummyfunction("""COMPUTED_VALUE"""),2023)</f>
        <v>2023</v>
      </c>
    </row>
    <row r="16" customFormat="false" ht="15.75" hidden="false" customHeight="false" outlineLevel="0" collapsed="false">
      <c r="A16" s="1" t="str">
        <f aca="false">IFERROR(__xludf.dummyfunction("""COMPUTED_VALUE"""),"30/11/2024")</f>
        <v>30/11/2024</v>
      </c>
      <c r="B16" s="2" t="n">
        <f aca="false">IFERROR(__xludf.dummyfunction("""COMPUTED_VALUE"""),2394000)</f>
        <v>2394000</v>
      </c>
      <c r="C16" s="1" t="str">
        <f aca="false">IFERROR(__xludf.dummyfunction("""COMPUTED_VALUE"""),"Gastos Comunes")</f>
        <v>Gastos Comunes</v>
      </c>
      <c r="D16" s="1" t="str">
        <f aca="false">IFERROR(__xludf.dummyfunction("""COMPUTED_VALUE"""),"Contribuciones")</f>
        <v>Contribuciones</v>
      </c>
      <c r="E16" s="1" t="str">
        <f aca="false">IFERROR(__xludf.dummyfunction("""COMPUTED_VALUE"""),"Noviembre")</f>
        <v>Noviembre</v>
      </c>
      <c r="F16" s="1" t="n">
        <f aca="false">IFERROR(__xludf.dummyfunction("""COMPUTED_VALUE"""),2024)</f>
        <v>2024</v>
      </c>
    </row>
    <row r="17" customFormat="false" ht="15.75" hidden="false" customHeight="false" outlineLevel="0" collapsed="false">
      <c r="A17" s="1" t="str">
        <f aca="false">IFERROR(__xludf.dummyfunction("""COMPUTED_VALUE"""),"30/11/2024")</f>
        <v>30/11/2024</v>
      </c>
      <c r="B17" s="2" t="n">
        <f aca="false">IFERROR(__xludf.dummyfunction("""COMPUTED_VALUE"""),151500)</f>
        <v>151500</v>
      </c>
      <c r="C17" s="1" t="str">
        <f aca="false">IFERROR(__xludf.dummyfunction("""COMPUTED_VALUE"""),"Otros Ingresos")</f>
        <v>Otros Ingresos</v>
      </c>
      <c r="D17" s="1" t="str">
        <f aca="false">IFERROR(__xludf.dummyfunction("""COMPUTED_VALUE"""),"Otros Ingresos")</f>
        <v>Otros Ingresos</v>
      </c>
      <c r="E17" s="1" t="str">
        <f aca="false">IFERROR(__xludf.dummyfunction("""COMPUTED_VALUE"""),"Noviembre")</f>
        <v>Noviembre</v>
      </c>
      <c r="F17" s="1" t="n">
        <f aca="false">IFERROR(__xludf.dummyfunction("""COMPUTED_VALUE"""),2024)</f>
        <v>2024</v>
      </c>
    </row>
    <row r="18" customFormat="false" ht="15.75" hidden="false" customHeight="false" outlineLevel="0" collapsed="false">
      <c r="A18" s="1" t="str">
        <f aca="false">IFERROR(__xludf.dummyfunction("""COMPUTED_VALUE"""),"30/11/2024")</f>
        <v>30/11/2024</v>
      </c>
      <c r="B18" s="2" t="n">
        <f aca="false">IFERROR(__xludf.dummyfunction("""COMPUTED_VALUE"""),60000)</f>
        <v>60000</v>
      </c>
      <c r="C18" s="1" t="str">
        <f aca="false">IFERROR(__xludf.dummyfunction("""COMPUTED_VALUE"""),"Fondo de Reserva")</f>
        <v>Fondo de Reserva</v>
      </c>
      <c r="D18" s="1" t="str">
        <f aca="false">IFERROR(__xludf.dummyfunction("""COMPUTED_VALUE"""),"Fondo de Reserva")</f>
        <v>Fondo de Reserva</v>
      </c>
      <c r="E18" s="1" t="str">
        <f aca="false">IFERROR(__xludf.dummyfunction("""COMPUTED_VALUE"""),"Noviembre")</f>
        <v>Noviembre</v>
      </c>
      <c r="F18" s="1" t="n">
        <f aca="false">IFERROR(__xludf.dummyfunction("""COMPUTED_VALUE"""),2024)</f>
        <v>2024</v>
      </c>
    </row>
    <row r="19" customFormat="false" ht="15.75" hidden="false" customHeight="false" outlineLevel="0" collapsed="false">
      <c r="A19" s="1" t="str">
        <f aca="false">IFERROR(__xludf.dummyfunction("""COMPUTED_VALUE"""),"30/11/2024")</f>
        <v>30/11/2024</v>
      </c>
      <c r="B19" s="2" t="n">
        <f aca="false">IFERROR(__xludf.dummyfunction("""COMPUTED_VALUE"""),122000)</f>
        <v>122000</v>
      </c>
      <c r="C19" s="1" t="str">
        <f aca="false">IFERROR(__xludf.dummyfunction("""COMPUTED_VALUE"""),"Fondo Proyecto")</f>
        <v>Fondo Proyecto</v>
      </c>
      <c r="D19" s="1" t="str">
        <f aca="false">IFERROR(__xludf.dummyfunction("""COMPUTED_VALUE"""),"Otros Ingresos")</f>
        <v>Otros Ingresos</v>
      </c>
      <c r="E19" s="1" t="str">
        <f aca="false">IFERROR(__xludf.dummyfunction("""COMPUTED_VALUE"""),"Noviembre")</f>
        <v>Noviembre</v>
      </c>
      <c r="F19" s="1" t="n">
        <f aca="false">IFERROR(__xludf.dummyfunction("""COMPUTED_VALUE"""),2024)</f>
        <v>2024</v>
      </c>
    </row>
    <row r="20" customFormat="false" ht="15.75" hidden="false" customHeight="false" outlineLevel="0" collapsed="false">
      <c r="A20" s="2" t="str">
        <f aca="false">IFERROR(__xludf.dummyfunction("""COMPUTED_VALUE"""),"31/01/2024")</f>
        <v>31/01/2024</v>
      </c>
      <c r="B20" s="2" t="n">
        <f aca="false">IFERROR(__xludf.dummyfunction("""COMPUTED_VALUE"""),4112000)</f>
        <v>4112000</v>
      </c>
      <c r="C20" s="1" t="str">
        <f aca="false">IFERROR(__xludf.dummyfunction("""COMPUTED_VALUE"""),"Gastos Comunes")</f>
        <v>Gastos Comunes</v>
      </c>
      <c r="D20" s="1" t="str">
        <f aca="false">IFERROR(__xludf.dummyfunction("""COMPUTED_VALUE"""),"Contribuciones")</f>
        <v>Contribuciones</v>
      </c>
      <c r="E20" s="1" t="str">
        <f aca="false">IFERROR(__xludf.dummyfunction("""COMPUTED_VALUE"""),"Enero")</f>
        <v>Enero</v>
      </c>
      <c r="F20" s="1" t="n">
        <f aca="false">IFERROR(__xludf.dummyfunction("""COMPUTED_VALUE"""),2024)</f>
        <v>2024</v>
      </c>
    </row>
    <row r="21" customFormat="false" ht="15.75" hidden="false" customHeight="false" outlineLevel="0" collapsed="false">
      <c r="A21" s="2" t="str">
        <f aca="false">IFERROR(__xludf.dummyfunction("""COMPUTED_VALUE"""),"31/01/2024")</f>
        <v>31/01/2024</v>
      </c>
      <c r="B21" s="2" t="n">
        <f aca="false">IFERROR(__xludf.dummyfunction("""COMPUTED_VALUE"""),202000)</f>
        <v>202000</v>
      </c>
      <c r="C21" s="1" t="str">
        <f aca="false">IFERROR(__xludf.dummyfunction("""COMPUTED_VALUE"""),"Fondo de Reserva")</f>
        <v>Fondo de Reserva</v>
      </c>
      <c r="D21" s="1" t="str">
        <f aca="false">IFERROR(__xludf.dummyfunction("""COMPUTED_VALUE"""),"Fondo de Reserva")</f>
        <v>Fondo de Reserva</v>
      </c>
      <c r="E21" s="1" t="str">
        <f aca="false">IFERROR(__xludf.dummyfunction("""COMPUTED_VALUE"""),"Enero")</f>
        <v>Enero</v>
      </c>
      <c r="F21" s="1" t="n">
        <f aca="false">IFERROR(__xludf.dummyfunction("""COMPUTED_VALUE"""),2024)</f>
        <v>2024</v>
      </c>
    </row>
    <row r="22" customFormat="false" ht="15.75" hidden="false" customHeight="false" outlineLevel="0" collapsed="false">
      <c r="A22" s="2" t="str">
        <f aca="false">IFERROR(__xludf.dummyfunction("""COMPUTED_VALUE"""),"31/01/2024")</f>
        <v>31/01/2024</v>
      </c>
      <c r="B22" s="2" t="n">
        <f aca="false">IFERROR(__xludf.dummyfunction("""COMPUTED_VALUE"""),36000)</f>
        <v>36000</v>
      </c>
      <c r="C22" s="1" t="str">
        <f aca="false">IFERROR(__xludf.dummyfunction("""COMPUTED_VALUE"""),"Aporte Cerco Electrico")</f>
        <v>Aporte Cerco Electrico</v>
      </c>
      <c r="D22" s="1" t="str">
        <f aca="false">IFERROR(__xludf.dummyfunction("""COMPUTED_VALUE"""),"Otros Ingresos")</f>
        <v>Otros Ingresos</v>
      </c>
      <c r="E22" s="1" t="str">
        <f aca="false">IFERROR(__xludf.dummyfunction("""COMPUTED_VALUE"""),"Enero")</f>
        <v>Enero</v>
      </c>
      <c r="F22" s="1" t="n">
        <f aca="false">IFERROR(__xludf.dummyfunction("""COMPUTED_VALUE"""),2024)</f>
        <v>2024</v>
      </c>
    </row>
    <row r="23" customFormat="false" ht="15.75" hidden="false" customHeight="false" outlineLevel="0" collapsed="false">
      <c r="A23" s="2" t="str">
        <f aca="false">IFERROR(__xludf.dummyfunction("""COMPUTED_VALUE"""),"31/03/2024")</f>
        <v>31/03/2024</v>
      </c>
      <c r="B23" s="2" t="n">
        <f aca="false">IFERROR(__xludf.dummyfunction("""COMPUTED_VALUE"""),2441000)</f>
        <v>2441000</v>
      </c>
      <c r="C23" s="1" t="str">
        <f aca="false">IFERROR(__xludf.dummyfunction("""COMPUTED_VALUE"""),"Gastos Comunes")</f>
        <v>Gastos Comunes</v>
      </c>
      <c r="D23" s="1" t="str">
        <f aca="false">IFERROR(__xludf.dummyfunction("""COMPUTED_VALUE"""),"Contribuciones")</f>
        <v>Contribuciones</v>
      </c>
      <c r="E23" s="1" t="str">
        <f aca="false">IFERROR(__xludf.dummyfunction("""COMPUTED_VALUE"""),"Marzo")</f>
        <v>Marzo</v>
      </c>
      <c r="F23" s="1" t="n">
        <f aca="false">IFERROR(__xludf.dummyfunction("""COMPUTED_VALUE"""),2024)</f>
        <v>2024</v>
      </c>
    </row>
    <row r="24" customFormat="false" ht="15.75" hidden="false" customHeight="false" outlineLevel="0" collapsed="false">
      <c r="A24" s="2" t="str">
        <f aca="false">IFERROR(__xludf.dummyfunction("""COMPUTED_VALUE"""),"31/03/2024")</f>
        <v>31/03/2024</v>
      </c>
      <c r="B24" s="2" t="n">
        <f aca="false">IFERROR(__xludf.dummyfunction("""COMPUTED_VALUE"""),53000)</f>
        <v>53000</v>
      </c>
      <c r="C24" s="1" t="str">
        <f aca="false">IFERROR(__xludf.dummyfunction("""COMPUTED_VALUE"""),"Fondo de Reserva")</f>
        <v>Fondo de Reserva</v>
      </c>
      <c r="D24" s="1" t="str">
        <f aca="false">IFERROR(__xludf.dummyfunction("""COMPUTED_VALUE"""),"Fondo de Reserva")</f>
        <v>Fondo de Reserva</v>
      </c>
      <c r="E24" s="1" t="str">
        <f aca="false">IFERROR(__xludf.dummyfunction("""COMPUTED_VALUE"""),"Marzo")</f>
        <v>Marzo</v>
      </c>
      <c r="F24" s="1" t="n">
        <f aca="false">IFERROR(__xludf.dummyfunction("""COMPUTED_VALUE"""),2024)</f>
        <v>2024</v>
      </c>
    </row>
    <row r="25" customFormat="false" ht="15.75" hidden="false" customHeight="false" outlineLevel="0" collapsed="false">
      <c r="A25" s="2" t="str">
        <f aca="false">IFERROR(__xludf.dummyfunction("""COMPUTED_VALUE"""),"31/03/2024")</f>
        <v>31/03/2024</v>
      </c>
      <c r="B25" s="2" t="n">
        <f aca="false">IFERROR(__xludf.dummyfunction("""COMPUTED_VALUE"""),25000)</f>
        <v>25000</v>
      </c>
      <c r="C25" s="1" t="str">
        <f aca="false">IFERROR(__xludf.dummyfunction("""COMPUTED_VALUE"""),"Ingreso Proyecto")</f>
        <v>Ingreso Proyecto</v>
      </c>
      <c r="D25" s="1" t="str">
        <f aca="false">IFERROR(__xludf.dummyfunction("""COMPUTED_VALUE"""),"Otros Ingresos")</f>
        <v>Otros Ingresos</v>
      </c>
      <c r="E25" s="1" t="str">
        <f aca="false">IFERROR(__xludf.dummyfunction("""COMPUTED_VALUE"""),"Marzo")</f>
        <v>Marzo</v>
      </c>
      <c r="F25" s="1" t="n">
        <f aca="false">IFERROR(__xludf.dummyfunction("""COMPUTED_VALUE"""),2024)</f>
        <v>2024</v>
      </c>
    </row>
    <row r="26" customFormat="false" ht="15.75" hidden="false" customHeight="false" outlineLevel="0" collapsed="false">
      <c r="A26" s="2" t="str">
        <f aca="false">IFERROR(__xludf.dummyfunction("""COMPUTED_VALUE"""),"31/05/2024")</f>
        <v>31/05/2024</v>
      </c>
      <c r="B26" s="2" t="n">
        <f aca="false">IFERROR(__xludf.dummyfunction("""COMPUTED_VALUE"""),8000)</f>
        <v>8000</v>
      </c>
      <c r="C26" s="1" t="str">
        <f aca="false">IFERROR(__xludf.dummyfunction("""COMPUTED_VALUE"""),"Fondo de Reserva")</f>
        <v>Fondo de Reserva</v>
      </c>
      <c r="D26" s="1" t="str">
        <f aca="false">IFERROR(__xludf.dummyfunction("""COMPUTED_VALUE"""),"Fondo de Reserva")</f>
        <v>Fondo de Reserva</v>
      </c>
      <c r="E26" s="1" t="str">
        <f aca="false">IFERROR(__xludf.dummyfunction("""COMPUTED_VALUE"""),"Mayo")</f>
        <v>Mayo</v>
      </c>
      <c r="F26" s="1" t="n">
        <f aca="false">IFERROR(__xludf.dummyfunction("""COMPUTED_VALUE"""),2024)</f>
        <v>2024</v>
      </c>
    </row>
    <row r="27" customFormat="false" ht="15.75" hidden="false" customHeight="false" outlineLevel="0" collapsed="false">
      <c r="A27" s="2" t="str">
        <f aca="false">IFERROR(__xludf.dummyfunction("""COMPUTED_VALUE"""),"31/05/2024")</f>
        <v>31/05/2024</v>
      </c>
      <c r="B27" s="2" t="n">
        <f aca="false">IFERROR(__xludf.dummyfunction("""COMPUTED_VALUE"""),2283000)</f>
        <v>2283000</v>
      </c>
      <c r="C27" s="1" t="str">
        <f aca="false">IFERROR(__xludf.dummyfunction("""COMPUTED_VALUE"""),"Gastos Comunes")</f>
        <v>Gastos Comunes</v>
      </c>
      <c r="D27" s="1" t="str">
        <f aca="false">IFERROR(__xludf.dummyfunction("""COMPUTED_VALUE"""),"Multas")</f>
        <v>Multas</v>
      </c>
      <c r="E27" s="1" t="str">
        <f aca="false">IFERROR(__xludf.dummyfunction("""COMPUTED_VALUE"""),"Mayo")</f>
        <v>Mayo</v>
      </c>
      <c r="F27" s="1" t="n">
        <f aca="false">IFERROR(__xludf.dummyfunction("""COMPUTED_VALUE"""),2024)</f>
        <v>2024</v>
      </c>
    </row>
    <row r="28" customFormat="false" ht="15.75" hidden="false" customHeight="false" outlineLevel="0" collapsed="false">
      <c r="A28" s="2" t="str">
        <f aca="false">IFERROR(__xludf.dummyfunction("""COMPUTED_VALUE"""),"31/07/2024")</f>
        <v>31/07/2024</v>
      </c>
      <c r="B28" s="2" t="n">
        <f aca="false">IFERROR(__xludf.dummyfunction("""COMPUTED_VALUE"""),2199500)</f>
        <v>2199500</v>
      </c>
      <c r="C28" s="1" t="str">
        <f aca="false">IFERROR(__xludf.dummyfunction("""COMPUTED_VALUE"""),"Gastos Comunes")</f>
        <v>Gastos Comunes</v>
      </c>
      <c r="D28" s="1" t="str">
        <f aca="false">IFERROR(__xludf.dummyfunction("""COMPUTED_VALUE"""),"Contribuciones")</f>
        <v>Contribuciones</v>
      </c>
      <c r="E28" s="1" t="str">
        <f aca="false">IFERROR(__xludf.dummyfunction("""COMPUTED_VALUE"""),"Julio")</f>
        <v>Julio</v>
      </c>
      <c r="F28" s="1" t="n">
        <f aca="false">IFERROR(__xludf.dummyfunction("""COMPUTED_VALUE"""),2024)</f>
        <v>2024</v>
      </c>
    </row>
    <row r="29" customFormat="false" ht="15.75" hidden="false" customHeight="false" outlineLevel="0" collapsed="false">
      <c r="A29" s="2" t="str">
        <f aca="false">IFERROR(__xludf.dummyfunction("""COMPUTED_VALUE"""),"31/07/2024")</f>
        <v>31/07/2024</v>
      </c>
      <c r="B29" s="2" t="n">
        <f aca="false">IFERROR(__xludf.dummyfunction("""COMPUTED_VALUE"""),76000)</f>
        <v>76000</v>
      </c>
      <c r="C29" s="1" t="str">
        <f aca="false">IFERROR(__xludf.dummyfunction("""COMPUTED_VALUE"""),"Fondo de Reserva")</f>
        <v>Fondo de Reserva</v>
      </c>
      <c r="D29" s="1" t="str">
        <f aca="false">IFERROR(__xludf.dummyfunction("""COMPUTED_VALUE"""),"Fondo de Reserva")</f>
        <v>Fondo de Reserva</v>
      </c>
      <c r="E29" s="1" t="str">
        <f aca="false">IFERROR(__xludf.dummyfunction("""COMPUTED_VALUE"""),"Julio")</f>
        <v>Julio</v>
      </c>
      <c r="F29" s="1" t="n">
        <f aca="false">IFERROR(__xludf.dummyfunction("""COMPUTED_VALUE"""),2024)</f>
        <v>2024</v>
      </c>
    </row>
    <row r="30" customFormat="false" ht="15.75" hidden="false" customHeight="false" outlineLevel="0" collapsed="false">
      <c r="A30" s="2" t="str">
        <f aca="false">IFERROR(__xludf.dummyfunction("""COMPUTED_VALUE"""),"31/08/2023")</f>
        <v>31/08/2023</v>
      </c>
      <c r="B30" s="2" t="n">
        <f aca="false">IFERROR(__xludf.dummyfunction("""COMPUTED_VALUE"""),1654000)</f>
        <v>1654000</v>
      </c>
      <c r="C30" s="1" t="str">
        <f aca="false">IFERROR(__xludf.dummyfunction("""COMPUTED_VALUE"""),"Gastos Comunes")</f>
        <v>Gastos Comunes</v>
      </c>
      <c r="D30" s="1" t="str">
        <f aca="false">IFERROR(__xludf.dummyfunction("""COMPUTED_VALUE"""),"Contribuciones")</f>
        <v>Contribuciones</v>
      </c>
      <c r="E30" s="1" t="str">
        <f aca="false">IFERROR(__xludf.dummyfunction("""COMPUTED_VALUE"""),"Agosto")</f>
        <v>Agosto</v>
      </c>
      <c r="F30" s="1" t="n">
        <f aca="false">IFERROR(__xludf.dummyfunction("""COMPUTED_VALUE"""),2023)</f>
        <v>2023</v>
      </c>
    </row>
    <row r="31" customFormat="false" ht="15.75" hidden="false" customHeight="false" outlineLevel="0" collapsed="false">
      <c r="A31" s="2" t="str">
        <f aca="false">IFERROR(__xludf.dummyfunction("""COMPUTED_VALUE"""),"31/08/2023")</f>
        <v>31/08/2023</v>
      </c>
      <c r="B31" s="2" t="n">
        <f aca="false">IFERROR(__xludf.dummyfunction("""COMPUTED_VALUE"""),293000)</f>
        <v>293000</v>
      </c>
      <c r="C31" s="1" t="str">
        <f aca="false">IFERROR(__xludf.dummyfunction("""COMPUTED_VALUE"""),"Fondo de Reserva")</f>
        <v>Fondo de Reserva</v>
      </c>
      <c r="D31" s="1" t="str">
        <f aca="false">IFERROR(__xludf.dummyfunction("""COMPUTED_VALUE"""),"Fondo de Reserva")</f>
        <v>Fondo de Reserva</v>
      </c>
      <c r="E31" s="1" t="str">
        <f aca="false">IFERROR(__xludf.dummyfunction("""COMPUTED_VALUE"""),"Agosto")</f>
        <v>Agosto</v>
      </c>
      <c r="F31" s="1" t="n">
        <f aca="false">IFERROR(__xludf.dummyfunction("""COMPUTED_VALUE"""),2023)</f>
        <v>2023</v>
      </c>
    </row>
    <row r="32" customFormat="false" ht="15.75" hidden="false" customHeight="false" outlineLevel="0" collapsed="false">
      <c r="A32" s="2" t="str">
        <f aca="false">IFERROR(__xludf.dummyfunction("""COMPUTED_VALUE"""),"31/08/2023")</f>
        <v>31/08/2023</v>
      </c>
      <c r="B32" s="2" t="n">
        <f aca="false">IFERROR(__xludf.dummyfunction("""COMPUTED_VALUE"""),5000)</f>
        <v>5000</v>
      </c>
      <c r="C32" s="1" t="str">
        <f aca="false">IFERROR(__xludf.dummyfunction("""COMPUTED_VALUE"""),"Fondo Serviu")</f>
        <v>Fondo Serviu</v>
      </c>
      <c r="D32" s="1" t="str">
        <f aca="false">IFERROR(__xludf.dummyfunction("""COMPUTED_VALUE"""),"Multas")</f>
        <v>Multas</v>
      </c>
      <c r="E32" s="1" t="str">
        <f aca="false">IFERROR(__xludf.dummyfunction("""COMPUTED_VALUE"""),"Agosto")</f>
        <v>Agosto</v>
      </c>
      <c r="F32" s="1" t="n">
        <f aca="false">IFERROR(__xludf.dummyfunction("""COMPUTED_VALUE"""),2023)</f>
        <v>2023</v>
      </c>
    </row>
    <row r="33" customFormat="false" ht="15.75" hidden="false" customHeight="false" outlineLevel="0" collapsed="false">
      <c r="A33" s="2" t="str">
        <f aca="false">IFERROR(__xludf.dummyfunction("""COMPUTED_VALUE"""),"31/08/2024")</f>
        <v>31/08/2024</v>
      </c>
      <c r="B33" s="2" t="n">
        <f aca="false">IFERROR(__xludf.dummyfunction("""COMPUTED_VALUE"""),2274000)</f>
        <v>2274000</v>
      </c>
      <c r="C33" s="1" t="str">
        <f aca="false">IFERROR(__xludf.dummyfunction("""COMPUTED_VALUE"""),"Gastos Comunes")</f>
        <v>Gastos Comunes</v>
      </c>
      <c r="D33" s="1" t="str">
        <f aca="false">IFERROR(__xludf.dummyfunction("""COMPUTED_VALUE"""),"Contribuciones")</f>
        <v>Contribuciones</v>
      </c>
      <c r="E33" s="1" t="str">
        <f aca="false">IFERROR(__xludf.dummyfunction("""COMPUTED_VALUE"""),"Agosto")</f>
        <v>Agosto</v>
      </c>
      <c r="F33" s="1" t="n">
        <f aca="false">IFERROR(__xludf.dummyfunction("""COMPUTED_VALUE"""),2024)</f>
        <v>2024</v>
      </c>
    </row>
    <row r="34" customFormat="false" ht="15.75" hidden="false" customHeight="false" outlineLevel="0" collapsed="false">
      <c r="A34" s="2" t="str">
        <f aca="false">IFERROR(__xludf.dummyfunction("""COMPUTED_VALUE"""),"31/08/2024")</f>
        <v>31/08/2024</v>
      </c>
      <c r="B34" s="2" t="n">
        <f aca="false">IFERROR(__xludf.dummyfunction("""COMPUTED_VALUE"""),18000)</f>
        <v>18000</v>
      </c>
      <c r="C34" s="1" t="str">
        <f aca="false">IFERROR(__xludf.dummyfunction("""COMPUTED_VALUE"""),"Fondo de Reserva")</f>
        <v>Fondo de Reserva</v>
      </c>
      <c r="D34" s="1" t="str">
        <f aca="false">IFERROR(__xludf.dummyfunction("""COMPUTED_VALUE"""),"Fondo de Reserva")</f>
        <v>Fondo de Reserva</v>
      </c>
      <c r="E34" s="1" t="str">
        <f aca="false">IFERROR(__xludf.dummyfunction("""COMPUTED_VALUE"""),"Agosto")</f>
        <v>Agosto</v>
      </c>
      <c r="F34" s="1" t="n">
        <f aca="false">IFERROR(__xludf.dummyfunction("""COMPUTED_VALUE"""),2024)</f>
        <v>2024</v>
      </c>
    </row>
    <row r="35" customFormat="false" ht="15.75" hidden="false" customHeight="false" outlineLevel="0" collapsed="false">
      <c r="A35" s="2" t="str">
        <f aca="false">IFERROR(__xludf.dummyfunction("""COMPUTED_VALUE"""),"31/08/2024")</f>
        <v>31/08/2024</v>
      </c>
      <c r="B35" s="2" t="n">
        <f aca="false">IFERROR(__xludf.dummyfunction("""COMPUTED_VALUE"""),183800)</f>
        <v>183800</v>
      </c>
      <c r="C35" s="1" t="str">
        <f aca="false">IFERROR(__xludf.dummyfunction("""COMPUTED_VALUE"""),"Sin Especificar")</f>
        <v>Sin Especificar</v>
      </c>
      <c r="D35" s="1" t="str">
        <f aca="false">IFERROR(__xludf.dummyfunction("""COMPUTED_VALUE"""),"Otros Ingresos")</f>
        <v>Otros Ingresos</v>
      </c>
      <c r="E35" s="1" t="str">
        <f aca="false">IFERROR(__xludf.dummyfunction("""COMPUTED_VALUE"""),"Agosto")</f>
        <v>Agosto</v>
      </c>
      <c r="F35" s="1" t="n">
        <f aca="false">IFERROR(__xludf.dummyfunction("""COMPUTED_VALUE"""),2024)</f>
        <v>2024</v>
      </c>
    </row>
    <row r="36" customFormat="false" ht="15.75" hidden="false" customHeight="false" outlineLevel="0" collapsed="false">
      <c r="A36" s="2" t="str">
        <f aca="false">IFERROR(__xludf.dummyfunction("""COMPUTED_VALUE"""),"31/10/2023")</f>
        <v>31/10/2023</v>
      </c>
      <c r="B36" s="2" t="n">
        <f aca="false">IFERROR(__xludf.dummyfunction("""COMPUTED_VALUE"""),2025000)</f>
        <v>2025000</v>
      </c>
      <c r="C36" s="1" t="str">
        <f aca="false">IFERROR(__xludf.dummyfunction("""COMPUTED_VALUE"""),"Gastos Comunes")</f>
        <v>Gastos Comunes</v>
      </c>
      <c r="D36" s="1" t="str">
        <f aca="false">IFERROR(__xludf.dummyfunction("""COMPUTED_VALUE"""),"Contribuciones")</f>
        <v>Contribuciones</v>
      </c>
      <c r="E36" s="1" t="str">
        <f aca="false">IFERROR(__xludf.dummyfunction("""COMPUTED_VALUE"""),"Octubre")</f>
        <v>Octubre</v>
      </c>
      <c r="F36" s="1" t="n">
        <f aca="false">IFERROR(__xludf.dummyfunction("""COMPUTED_VALUE"""),2023)</f>
        <v>2023</v>
      </c>
    </row>
    <row r="37" customFormat="false" ht="15.75" hidden="false" customHeight="false" outlineLevel="0" collapsed="false">
      <c r="A37" s="2" t="str">
        <f aca="false">IFERROR(__xludf.dummyfunction("""COMPUTED_VALUE"""),"31/10/2023")</f>
        <v>31/10/2023</v>
      </c>
      <c r="B37" s="2" t="n">
        <f aca="false">IFERROR(__xludf.dummyfunction("""COMPUTED_VALUE"""),100500)</f>
        <v>100500</v>
      </c>
      <c r="C37" s="1" t="str">
        <f aca="false">IFERROR(__xludf.dummyfunction("""COMPUTED_VALUE"""),"Aporte FF.PP")</f>
        <v>Aporte FF.PP</v>
      </c>
      <c r="D37" s="1" t="str">
        <f aca="false">IFERROR(__xludf.dummyfunction("""COMPUTED_VALUE"""),"Otros Ingresos")</f>
        <v>Otros Ingresos</v>
      </c>
      <c r="E37" s="1" t="str">
        <f aca="false">IFERROR(__xludf.dummyfunction("""COMPUTED_VALUE"""),"Octubre")</f>
        <v>Octubre</v>
      </c>
      <c r="F37" s="1" t="n">
        <f aca="false">IFERROR(__xludf.dummyfunction("""COMPUTED_VALUE"""),2023)</f>
        <v>2023</v>
      </c>
    </row>
    <row r="38" customFormat="false" ht="15.75" hidden="false" customHeight="false" outlineLevel="0" collapsed="false">
      <c r="A38" s="2" t="str">
        <f aca="false">IFERROR(__xludf.dummyfunction("""COMPUTED_VALUE"""),"31/10/2023")</f>
        <v>31/10/2023</v>
      </c>
      <c r="B38" s="2" t="n">
        <f aca="false">IFERROR(__xludf.dummyfunction("""COMPUTED_VALUE"""),232000)</f>
        <v>232000</v>
      </c>
      <c r="C38" s="1" t="str">
        <f aca="false">IFERROR(__xludf.dummyfunction("""COMPUTED_VALUE"""),"Fondo de Reserva")</f>
        <v>Fondo de Reserva</v>
      </c>
      <c r="D38" s="1" t="str">
        <f aca="false">IFERROR(__xludf.dummyfunction("""COMPUTED_VALUE"""),"Fondo de Reserva")</f>
        <v>Fondo de Reserva</v>
      </c>
      <c r="E38" s="1" t="str">
        <f aca="false">IFERROR(__xludf.dummyfunction("""COMPUTED_VALUE"""),"Octubre")</f>
        <v>Octubre</v>
      </c>
      <c r="F38" s="1" t="n">
        <f aca="false">IFERROR(__xludf.dummyfunction("""COMPUTED_VALUE"""),2023)</f>
        <v>2023</v>
      </c>
    </row>
    <row r="39" customFormat="false" ht="15.75" hidden="false" customHeight="false" outlineLevel="0" collapsed="false">
      <c r="A39" s="1" t="str">
        <f aca="false">IFERROR(__xludf.dummyfunction("""COMPUTED_VALUE"""),"31/10/2024")</f>
        <v>31/10/2024</v>
      </c>
      <c r="B39" s="2" t="n">
        <f aca="false">IFERROR(__xludf.dummyfunction("""COMPUTED_VALUE"""),3043000)</f>
        <v>3043000</v>
      </c>
      <c r="C39" s="1" t="str">
        <f aca="false">IFERROR(__xludf.dummyfunction("""COMPUTED_VALUE"""),"Gastos Comunes")</f>
        <v>Gastos Comunes</v>
      </c>
      <c r="D39" s="1" t="str">
        <f aca="false">IFERROR(__xludf.dummyfunction("""COMPUTED_VALUE"""),"Contribuciones")</f>
        <v>Contribuciones</v>
      </c>
      <c r="E39" s="1" t="str">
        <f aca="false">IFERROR(__xludf.dummyfunction("""COMPUTED_VALUE"""),"Octubre")</f>
        <v>Octubre</v>
      </c>
      <c r="F39" s="1" t="n">
        <f aca="false">IFERROR(__xludf.dummyfunction("""COMPUTED_VALUE"""),2024)</f>
        <v>2024</v>
      </c>
    </row>
    <row r="40" customFormat="false" ht="15.75" hidden="false" customHeight="false" outlineLevel="0" collapsed="false">
      <c r="A40" s="1" t="str">
        <f aca="false">IFERROR(__xludf.dummyfunction("""COMPUTED_VALUE"""),"31/10/2024")</f>
        <v>31/10/2024</v>
      </c>
      <c r="B40" s="2" t="n">
        <f aca="false">IFERROR(__xludf.dummyfunction("""COMPUTED_VALUE"""),101000)</f>
        <v>101000</v>
      </c>
      <c r="C40" s="1" t="str">
        <f aca="false">IFERROR(__xludf.dummyfunction("""COMPUTED_VALUE"""),"Fondo de Reserva")</f>
        <v>Fondo de Reserva</v>
      </c>
      <c r="D40" s="1" t="str">
        <f aca="false">IFERROR(__xludf.dummyfunction("""COMPUTED_VALUE"""),"Fondo de Reserva")</f>
        <v>Fondo de Reserva</v>
      </c>
      <c r="E40" s="1" t="str">
        <f aca="false">IFERROR(__xludf.dummyfunction("""COMPUTED_VALUE"""),"Octubre")</f>
        <v>Octubre</v>
      </c>
      <c r="F40" s="1" t="n">
        <f aca="false">IFERROR(__xludf.dummyfunction("""COMPUTED_VALUE"""),2024)</f>
        <v>2024</v>
      </c>
    </row>
    <row r="41" customFormat="false" ht="15.75" hidden="false" customHeight="false" outlineLevel="0" collapsed="false">
      <c r="A41" s="2" t="str">
        <f aca="false">IFERROR(__xludf.dummyfunction("""COMPUTED_VALUE"""),"31/12/2023")</f>
        <v>31/12/2023</v>
      </c>
      <c r="B41" s="2" t="n">
        <f aca="false">IFERROR(__xludf.dummyfunction("""COMPUTED_VALUE"""),3044500)</f>
        <v>3044500</v>
      </c>
      <c r="C41" s="1" t="str">
        <f aca="false">IFERROR(__xludf.dummyfunction("""COMPUTED_VALUE"""),"Gastos Comunes")</f>
        <v>Gastos Comunes</v>
      </c>
      <c r="D41" s="1" t="str">
        <f aca="false">IFERROR(__xludf.dummyfunction("""COMPUTED_VALUE"""),"Contribuciones")</f>
        <v>Contribuciones</v>
      </c>
      <c r="E41" s="1" t="str">
        <f aca="false">IFERROR(__xludf.dummyfunction("""COMPUTED_VALUE"""),"Diciembre")</f>
        <v>Diciembre</v>
      </c>
      <c r="F41" s="1" t="n">
        <f aca="false">IFERROR(__xludf.dummyfunction("""COMPUTED_VALUE"""),2023)</f>
        <v>2023</v>
      </c>
    </row>
    <row r="42" customFormat="false" ht="15.75" hidden="false" customHeight="false" outlineLevel="0" collapsed="false">
      <c r="A42" s="2" t="str">
        <f aca="false">IFERROR(__xludf.dummyfunction("""COMPUTED_VALUE"""),"31/12/2023")</f>
        <v>31/12/2023</v>
      </c>
      <c r="B42" s="2" t="n">
        <f aca="false">IFERROR(__xludf.dummyfunction("""COMPUTED_VALUE"""),140000)</f>
        <v>140000</v>
      </c>
      <c r="C42" s="1" t="str">
        <f aca="false">IFERROR(__xludf.dummyfunction("""COMPUTED_VALUE"""),"Aporte FF.N")</f>
        <v>Aporte FF.N</v>
      </c>
      <c r="D42" s="1" t="str">
        <f aca="false">IFERROR(__xludf.dummyfunction("""COMPUTED_VALUE"""),"Otros Ingresos")</f>
        <v>Otros Ingresos</v>
      </c>
      <c r="E42" s="1" t="str">
        <f aca="false">IFERROR(__xludf.dummyfunction("""COMPUTED_VALUE"""),"Diciembre")</f>
        <v>Diciembre</v>
      </c>
      <c r="F42" s="1" t="n">
        <f aca="false">IFERROR(__xludf.dummyfunction("""COMPUTED_VALUE"""),2023)</f>
        <v>2023</v>
      </c>
    </row>
    <row r="43" customFormat="false" ht="15.75" hidden="false" customHeight="false" outlineLevel="0" collapsed="false">
      <c r="A43" s="2" t="str">
        <f aca="false">IFERROR(__xludf.dummyfunction("""COMPUTED_VALUE"""),"31/12/2023")</f>
        <v>31/12/2023</v>
      </c>
      <c r="B43" s="2" t="n">
        <f aca="false">IFERROR(__xludf.dummyfunction("""COMPUTED_VALUE"""),85000)</f>
        <v>85000</v>
      </c>
      <c r="C43" s="1" t="str">
        <f aca="false">IFERROR(__xludf.dummyfunction("""COMPUTED_VALUE"""),"Fondo de Reserva")</f>
        <v>Fondo de Reserva</v>
      </c>
      <c r="D43" s="1" t="str">
        <f aca="false">IFERROR(__xludf.dummyfunction("""COMPUTED_VALUE"""),"Fondo de Reserva")</f>
        <v>Fondo de Reserva</v>
      </c>
      <c r="E43" s="1" t="str">
        <f aca="false">IFERROR(__xludf.dummyfunction("""COMPUTED_VALUE"""),"Diciembre")</f>
        <v>Diciembre</v>
      </c>
      <c r="F43" s="1" t="n">
        <f aca="false">IFERROR(__xludf.dummyfunction("""COMPUTED_VALUE"""),2023)</f>
        <v>2023</v>
      </c>
    </row>
    <row r="44" customFormat="false" ht="15.75" hidden="false" customHeight="false" outlineLevel="0" collapsed="false">
      <c r="A44" s="1" t="str">
        <f aca="false">IFERROR(__xludf.dummyfunction("""COMPUTED_VALUE"""),"31/12/2024")</f>
        <v>31/12/2024</v>
      </c>
      <c r="B44" s="2" t="n">
        <f aca="false">IFERROR(__xludf.dummyfunction("""COMPUTED_VALUE"""),2300000)</f>
        <v>2300000</v>
      </c>
      <c r="C44" s="1" t="str">
        <f aca="false">IFERROR(__xludf.dummyfunction("""COMPUTED_VALUE"""),"Gastos Comunes")</f>
        <v>Gastos Comunes</v>
      </c>
      <c r="D44" s="1" t="str">
        <f aca="false">IFERROR(__xludf.dummyfunction("""COMPUTED_VALUE"""),"Contribuciones")</f>
        <v>Contribuciones</v>
      </c>
      <c r="E44" s="1" t="str">
        <f aca="false">IFERROR(__xludf.dummyfunction("""COMPUTED_VALUE"""),"Diciembre")</f>
        <v>Diciembre</v>
      </c>
      <c r="F44" s="1" t="n">
        <f aca="false">IFERROR(__xludf.dummyfunction("""COMPUTED_VALUE"""),2024)</f>
        <v>2024</v>
      </c>
    </row>
    <row r="45" customFormat="false" ht="15.75" hidden="false" customHeight="false" outlineLevel="0" collapsed="false">
      <c r="A45" s="1" t="str">
        <f aca="false">IFERROR(__xludf.dummyfunction("""COMPUTED_VALUE"""),"31/12/2024")</f>
        <v>31/12/2024</v>
      </c>
      <c r="B45" s="2" t="n">
        <f aca="false">IFERROR(__xludf.dummyfunction("""COMPUTED_VALUE"""),33000)</f>
        <v>33000</v>
      </c>
      <c r="C45" s="1" t="str">
        <f aca="false">IFERROR(__xludf.dummyfunction("""COMPUTED_VALUE"""),"Fondo de Reserva")</f>
        <v>Fondo de Reserva</v>
      </c>
      <c r="D45" s="1" t="str">
        <f aca="false">IFERROR(__xludf.dummyfunction("""COMPUTED_VALUE"""),"Fondo de Reserva")</f>
        <v>Fondo de Reserva</v>
      </c>
      <c r="E45" s="1" t="str">
        <f aca="false">IFERROR(__xludf.dummyfunction("""COMPUTED_VALUE"""),"Diciembre")</f>
        <v>Diciembre</v>
      </c>
      <c r="F45" s="1" t="n">
        <f aca="false">IFERROR(__xludf.dummyfunction("""COMPUTED_VALUE"""),2024)</f>
        <v>2024</v>
      </c>
    </row>
    <row r="46" customFormat="false" ht="15.75" hidden="false" customHeight="false" outlineLevel="0" collapsed="false">
      <c r="A46" s="1" t="str">
        <f aca="false">IFERROR(__xludf.dummyfunction("""COMPUTED_VALUE"""),"31/12/2024")</f>
        <v>31/12/2024</v>
      </c>
      <c r="B46" s="2" t="n">
        <f aca="false">IFERROR(__xludf.dummyfunction("""COMPUTED_VALUE"""),22000)</f>
        <v>22000</v>
      </c>
      <c r="C46" s="1" t="str">
        <f aca="false">IFERROR(__xludf.dummyfunction("""COMPUTED_VALUE"""),"Gastos Comunes")</f>
        <v>Gastos Comunes</v>
      </c>
      <c r="D46" s="1" t="str">
        <f aca="false">IFERROR(__xludf.dummyfunction("""COMPUTED_VALUE"""),"Multas")</f>
        <v>Multas</v>
      </c>
      <c r="E46" s="1" t="str">
        <f aca="false">IFERROR(__xludf.dummyfunction("""COMPUTED_VALUE"""),"Diciembre")</f>
        <v>Diciembre</v>
      </c>
      <c r="F46" s="1" t="n">
        <f aca="false">IFERROR(__xludf.dummyfunction("""COMPUTED_VALUE"""),2024)</f>
        <v>2024</v>
      </c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.75" zeroHeight="false" outlineLevelRow="0" outlineLevelCol="0"/>
  <cols>
    <col collapsed="false" customWidth="true" hidden="false" outlineLevel="0" max="2" min="2" style="0" width="12.7"/>
    <col collapsed="false" customWidth="true" hidden="false" outlineLevel="0" max="3" min="3" style="0" width="26.2"/>
    <col collapsed="false" customWidth="true" hidden="false" outlineLevel="0" max="4" min="4" style="0" width="17.98"/>
    <col collapsed="false" customWidth="true" hidden="false" outlineLevel="0" max="5" min="5" style="0" width="11.86"/>
    <col collapsed="false" customWidth="true" hidden="false" outlineLevel="0" max="6" min="6" style="0" width="7.97"/>
  </cols>
  <sheetData>
    <row r="1" customFormat="false" ht="15.75" hidden="false" customHeight="false" outlineLevel="0" collapsed="false">
      <c r="A1" s="1" t="str">
        <f aca="false">IFERROR(__xludf.dummyfunction("IMPORTRANGE(""https://docs.google.com/spreadsheets/d/1WFEArRp_km_Lbi8km6SAcc5MMoPz9_5l0-qlUR7_j98"",""Egresos!A1:F555"")"),"Fecha")</f>
        <v>Fecha</v>
      </c>
      <c r="B1" s="1" t="str">
        <f aca="false">IFERROR(__xludf.dummyfunction("""COMPUTED_VALUE"""),"Monto")</f>
        <v>Monto</v>
      </c>
      <c r="C1" s="1" t="str">
        <f aca="false">IFERROR(__xludf.dummyfunction("""COMPUTED_VALUE"""),"Concepto")</f>
        <v>Concepto</v>
      </c>
      <c r="D1" s="1" t="str">
        <f aca="false">IFERROR(__xludf.dummyfunction("""COMPUTED_VALUE"""),"Familia")</f>
        <v>Familia</v>
      </c>
      <c r="E1" s="1" t="str">
        <f aca="false">IFERROR(__xludf.dummyfunction("""COMPUTED_VALUE"""),"Mes")</f>
        <v>Mes</v>
      </c>
      <c r="F1" s="1" t="str">
        <f aca="false">IFERROR(__xludf.dummyfunction("""COMPUTED_VALUE"""),"Año")</f>
        <v>Año</v>
      </c>
    </row>
    <row r="2" customFormat="false" ht="15.75" hidden="false" customHeight="false" outlineLevel="0" collapsed="false">
      <c r="A2" s="2" t="str">
        <f aca="false">IFERROR(__xludf.dummyfunction("""COMPUTED_VALUE"""),"31/01/2023")</f>
        <v>31/01/2023</v>
      </c>
      <c r="B2" s="2" t="n">
        <f aca="false">IFERROR(__xludf.dummyfunction("""COMPUTED_VALUE"""),100000)</f>
        <v>100000</v>
      </c>
      <c r="C2" s="1" t="str">
        <f aca="false">IFERROR(__xludf.dummyfunction("""COMPUTED_VALUE"""),"Útiles de Aseo")</f>
        <v>Útiles de Aseo</v>
      </c>
      <c r="D2" s="1" t="str">
        <f aca="false">IFERROR(__xludf.dummyfunction("""COMPUTED_VALUE"""),"Útiles de Aseo")</f>
        <v>Útiles de Aseo</v>
      </c>
      <c r="E2" s="1" t="str">
        <f aca="false">IFERROR(__xludf.dummyfunction("""COMPUTED_VALUE"""),"Enero")</f>
        <v>Enero</v>
      </c>
      <c r="F2" s="1" t="n">
        <f aca="false">IFERROR(__xludf.dummyfunction("""COMPUTED_VALUE"""),2023)</f>
        <v>2023</v>
      </c>
    </row>
    <row r="3" customFormat="false" ht="15.75" hidden="false" customHeight="false" outlineLevel="0" collapsed="false">
      <c r="A3" s="2" t="str">
        <f aca="false">IFERROR(__xludf.dummyfunction("""COMPUTED_VALUE"""),"31/01/2023")</f>
        <v>31/01/2023</v>
      </c>
      <c r="B3" s="2" t="n">
        <f aca="false">IFERROR(__xludf.dummyfunction("""COMPUTED_VALUE"""),74000)</f>
        <v>74000</v>
      </c>
      <c r="C3" s="1" t="str">
        <f aca="false">IFERROR(__xludf.dummyfunction("""COMPUTED_VALUE"""),"Servicios Básicos")</f>
        <v>Servicios Básicos</v>
      </c>
      <c r="D3" s="1" t="str">
        <f aca="false">IFERROR(__xludf.dummyfunction("""COMPUTED_VALUE"""),"Servicios Básicos")</f>
        <v>Servicios Básicos</v>
      </c>
      <c r="E3" s="1" t="str">
        <f aca="false">IFERROR(__xludf.dummyfunction("""COMPUTED_VALUE"""),"Enero")</f>
        <v>Enero</v>
      </c>
      <c r="F3" s="1" t="n">
        <f aca="false">IFERROR(__xludf.dummyfunction("""COMPUTED_VALUE"""),2023)</f>
        <v>2023</v>
      </c>
    </row>
    <row r="4" customFormat="false" ht="15.75" hidden="false" customHeight="false" outlineLevel="0" collapsed="false">
      <c r="A4" s="2" t="str">
        <f aca="false">IFERROR(__xludf.dummyfunction("""COMPUTED_VALUE"""),"31/01/2023")</f>
        <v>31/01/2023</v>
      </c>
      <c r="B4" s="2" t="n">
        <f aca="false">IFERROR(__xludf.dummyfunction("""COMPUTED_VALUE"""),15000)</f>
        <v>15000</v>
      </c>
      <c r="C4" s="1" t="str">
        <f aca="false">IFERROR(__xludf.dummyfunction("""COMPUTED_VALUE"""),"Notaria")</f>
        <v>Notaria</v>
      </c>
      <c r="D4" s="1" t="str">
        <f aca="false">IFERROR(__xludf.dummyfunction("""COMPUTED_VALUE"""),"Trámites")</f>
        <v>Trámites</v>
      </c>
      <c r="E4" s="1" t="str">
        <f aca="false">IFERROR(__xludf.dummyfunction("""COMPUTED_VALUE"""),"Enero")</f>
        <v>Enero</v>
      </c>
      <c r="F4" s="1" t="n">
        <f aca="false">IFERROR(__xludf.dummyfunction("""COMPUTED_VALUE"""),2023)</f>
        <v>2023</v>
      </c>
    </row>
    <row r="5" customFormat="false" ht="15.75" hidden="false" customHeight="false" outlineLevel="0" collapsed="false">
      <c r="A5" s="2" t="str">
        <f aca="false">IFERROR(__xludf.dummyfunction("""COMPUTED_VALUE"""),"31/01/2023")</f>
        <v>31/01/2023</v>
      </c>
      <c r="B5" s="2" t="n">
        <f aca="false">IFERROR(__xludf.dummyfunction("""COMPUTED_VALUE"""),250000)</f>
        <v>250000</v>
      </c>
      <c r="C5" s="1" t="str">
        <f aca="false">IFERROR(__xludf.dummyfunction("""COMPUTED_VALUE"""),"Pago Administración")</f>
        <v>Pago Administración</v>
      </c>
      <c r="D5" s="1" t="str">
        <f aca="false">IFERROR(__xludf.dummyfunction("""COMPUTED_VALUE"""),"Remuneraciones")</f>
        <v>Remuneraciones</v>
      </c>
      <c r="E5" s="1" t="str">
        <f aca="false">IFERROR(__xludf.dummyfunction("""COMPUTED_VALUE"""),"Enero")</f>
        <v>Enero</v>
      </c>
      <c r="F5" s="1" t="n">
        <f aca="false">IFERROR(__xludf.dummyfunction("""COMPUTED_VALUE"""),2023)</f>
        <v>2023</v>
      </c>
    </row>
    <row r="6" customFormat="false" ht="15.75" hidden="false" customHeight="false" outlineLevel="0" collapsed="false">
      <c r="A6" s="2" t="str">
        <f aca="false">IFERROR(__xludf.dummyfunction("""COMPUTED_VALUE"""),"31/01/2023")</f>
        <v>31/01/2023</v>
      </c>
      <c r="B6" s="2" t="n">
        <f aca="false">IFERROR(__xludf.dummyfunction("""COMPUTED_VALUE"""),128000)</f>
        <v>128000</v>
      </c>
      <c r="C6" s="1" t="str">
        <f aca="false">IFERROR(__xludf.dummyfunction("""COMPUTED_VALUE"""),"Anticipos")</f>
        <v>Anticipos</v>
      </c>
      <c r="D6" s="1" t="str">
        <f aca="false">IFERROR(__xludf.dummyfunction("""COMPUTED_VALUE"""),"Remuneraciones")</f>
        <v>Remuneraciones</v>
      </c>
      <c r="E6" s="1" t="str">
        <f aca="false">IFERROR(__xludf.dummyfunction("""COMPUTED_VALUE"""),"Enero")</f>
        <v>Enero</v>
      </c>
      <c r="F6" s="1" t="n">
        <f aca="false">IFERROR(__xludf.dummyfunction("""COMPUTED_VALUE"""),2023)</f>
        <v>2023</v>
      </c>
    </row>
    <row r="7" customFormat="false" ht="15.75" hidden="false" customHeight="false" outlineLevel="0" collapsed="false">
      <c r="A7" s="2" t="str">
        <f aca="false">IFERROR(__xludf.dummyfunction("""COMPUTED_VALUE"""),"31/01/2023")</f>
        <v>31/01/2023</v>
      </c>
      <c r="B7" s="2" t="n">
        <f aca="false">IFERROR(__xludf.dummyfunction("""COMPUTED_VALUE"""),75000)</f>
        <v>75000</v>
      </c>
      <c r="C7" s="1" t="str">
        <f aca="false">IFERROR(__xludf.dummyfunction("""COMPUTED_VALUE"""),"Mantenimiento Hidropack")</f>
        <v>Mantenimiento Hidropack</v>
      </c>
      <c r="D7" s="1" t="str">
        <f aca="false">IFERROR(__xludf.dummyfunction("""COMPUTED_VALUE"""),"Mantenimientos")</f>
        <v>Mantenimientos</v>
      </c>
      <c r="E7" s="1" t="str">
        <f aca="false">IFERROR(__xludf.dummyfunction("""COMPUTED_VALUE"""),"Enero")</f>
        <v>Enero</v>
      </c>
      <c r="F7" s="1" t="n">
        <f aca="false">IFERROR(__xludf.dummyfunction("""COMPUTED_VALUE"""),2023)</f>
        <v>2023</v>
      </c>
    </row>
    <row r="8" customFormat="false" ht="15.75" hidden="false" customHeight="false" outlineLevel="0" collapsed="false">
      <c r="A8" s="2" t="str">
        <f aca="false">IFERROR(__xludf.dummyfunction("""COMPUTED_VALUE"""),"28/02/2023")</f>
        <v>28/02/2023</v>
      </c>
      <c r="B8" s="2" t="n">
        <f aca="false">IFERROR(__xludf.dummyfunction("""COMPUTED_VALUE"""),90000)</f>
        <v>90000</v>
      </c>
      <c r="C8" s="1" t="str">
        <f aca="false">IFERROR(__xludf.dummyfunction("""COMPUTED_VALUE"""),"Útiles de Aseo")</f>
        <v>Útiles de Aseo</v>
      </c>
      <c r="D8" s="1" t="str">
        <f aca="false">IFERROR(__xludf.dummyfunction("""COMPUTED_VALUE"""),"Útiles de Aseo")</f>
        <v>Útiles de Aseo</v>
      </c>
      <c r="E8" s="1" t="str">
        <f aca="false">IFERROR(__xludf.dummyfunction("""COMPUTED_VALUE"""),"Febrero")</f>
        <v>Febrero</v>
      </c>
      <c r="F8" s="1" t="n">
        <f aca="false">IFERROR(__xludf.dummyfunction("""COMPUTED_VALUE"""),2023)</f>
        <v>2023</v>
      </c>
    </row>
    <row r="9" customFormat="false" ht="15.75" hidden="false" customHeight="false" outlineLevel="0" collapsed="false">
      <c r="A9" s="2" t="str">
        <f aca="false">IFERROR(__xludf.dummyfunction("""COMPUTED_VALUE"""),"28/02/2023")</f>
        <v>28/02/2023</v>
      </c>
      <c r="B9" s="2" t="n">
        <f aca="false">IFERROR(__xludf.dummyfunction("""COMPUTED_VALUE"""),85000)</f>
        <v>85000</v>
      </c>
      <c r="C9" s="1" t="str">
        <f aca="false">IFERROR(__xludf.dummyfunction("""COMPUTED_VALUE"""),"Servicios Básicos")</f>
        <v>Servicios Básicos</v>
      </c>
      <c r="D9" s="1" t="str">
        <f aca="false">IFERROR(__xludf.dummyfunction("""COMPUTED_VALUE"""),"Servicios Básicos")</f>
        <v>Servicios Básicos</v>
      </c>
      <c r="E9" s="1" t="str">
        <f aca="false">IFERROR(__xludf.dummyfunction("""COMPUTED_VALUE"""),"Febrero")</f>
        <v>Febrero</v>
      </c>
      <c r="F9" s="1" t="n">
        <f aca="false">IFERROR(__xludf.dummyfunction("""COMPUTED_VALUE"""),2023)</f>
        <v>2023</v>
      </c>
    </row>
    <row r="10" customFormat="false" ht="15.75" hidden="false" customHeight="false" outlineLevel="0" collapsed="false">
      <c r="A10" s="2" t="str">
        <f aca="false">IFERROR(__xludf.dummyfunction("""COMPUTED_VALUE"""),"28/02/2023")</f>
        <v>28/02/2023</v>
      </c>
      <c r="B10" s="2" t="n">
        <f aca="false">IFERROR(__xludf.dummyfunction("""COMPUTED_VALUE"""),24000)</f>
        <v>24000</v>
      </c>
      <c r="C10" s="1" t="str">
        <f aca="false">IFERROR(__xludf.dummyfunction("""COMPUTED_VALUE"""),"Notaria")</f>
        <v>Notaria</v>
      </c>
      <c r="D10" s="1" t="str">
        <f aca="false">IFERROR(__xludf.dummyfunction("""COMPUTED_VALUE"""),"Trámites")</f>
        <v>Trámites</v>
      </c>
      <c r="E10" s="1" t="str">
        <f aca="false">IFERROR(__xludf.dummyfunction("""COMPUTED_VALUE"""),"Febrero")</f>
        <v>Febrero</v>
      </c>
      <c r="F10" s="1" t="n">
        <f aca="false">IFERROR(__xludf.dummyfunction("""COMPUTED_VALUE"""),2023)</f>
        <v>2023</v>
      </c>
    </row>
    <row r="11" customFormat="false" ht="15.75" hidden="false" customHeight="false" outlineLevel="0" collapsed="false">
      <c r="A11" s="2" t="str">
        <f aca="false">IFERROR(__xludf.dummyfunction("""COMPUTED_VALUE"""),"28/02/2023")</f>
        <v>28/02/2023</v>
      </c>
      <c r="B11" s="2" t="n">
        <f aca="false">IFERROR(__xludf.dummyfunction("""COMPUTED_VALUE"""),250000)</f>
        <v>250000</v>
      </c>
      <c r="C11" s="1" t="str">
        <f aca="false">IFERROR(__xludf.dummyfunction("""COMPUTED_VALUE"""),"Pago Administración")</f>
        <v>Pago Administración</v>
      </c>
      <c r="D11" s="1" t="str">
        <f aca="false">IFERROR(__xludf.dummyfunction("""COMPUTED_VALUE"""),"Remuneraciones")</f>
        <v>Remuneraciones</v>
      </c>
      <c r="E11" s="1" t="str">
        <f aca="false">IFERROR(__xludf.dummyfunction("""COMPUTED_VALUE"""),"Febrero")</f>
        <v>Febrero</v>
      </c>
      <c r="F11" s="1" t="n">
        <f aca="false">IFERROR(__xludf.dummyfunction("""COMPUTED_VALUE"""),2023)</f>
        <v>2023</v>
      </c>
    </row>
    <row r="12" customFormat="false" ht="15.75" hidden="false" customHeight="false" outlineLevel="0" collapsed="false">
      <c r="A12" s="2" t="str">
        <f aca="false">IFERROR(__xludf.dummyfunction("""COMPUTED_VALUE"""),"28/02/2023")</f>
        <v>28/02/2023</v>
      </c>
      <c r="B12" s="2" t="n">
        <f aca="false">IFERROR(__xludf.dummyfunction("""COMPUTED_VALUE"""),128000)</f>
        <v>128000</v>
      </c>
      <c r="C12" s="1" t="str">
        <f aca="false">IFERROR(__xludf.dummyfunction("""COMPUTED_VALUE"""),"Anticipos")</f>
        <v>Anticipos</v>
      </c>
      <c r="D12" s="1" t="str">
        <f aca="false">IFERROR(__xludf.dummyfunction("""COMPUTED_VALUE"""),"Remuneraciones")</f>
        <v>Remuneraciones</v>
      </c>
      <c r="E12" s="1" t="str">
        <f aca="false">IFERROR(__xludf.dummyfunction("""COMPUTED_VALUE"""),"Febrero")</f>
        <v>Febrero</v>
      </c>
      <c r="F12" s="1" t="n">
        <f aca="false">IFERROR(__xludf.dummyfunction("""COMPUTED_VALUE"""),2023)</f>
        <v>2023</v>
      </c>
    </row>
    <row r="13" customFormat="false" ht="15.75" hidden="false" customHeight="false" outlineLevel="0" collapsed="false">
      <c r="A13" s="2" t="str">
        <f aca="false">IFERROR(__xludf.dummyfunction("""COMPUTED_VALUE"""),"28/02/2023")</f>
        <v>28/02/2023</v>
      </c>
      <c r="B13" s="2" t="n">
        <f aca="false">IFERROR(__xludf.dummyfunction("""COMPUTED_VALUE"""),75000)</f>
        <v>75000</v>
      </c>
      <c r="C13" s="1" t="str">
        <f aca="false">IFERROR(__xludf.dummyfunction("""COMPUTED_VALUE"""),"Mantenimiento Hidropack")</f>
        <v>Mantenimiento Hidropack</v>
      </c>
      <c r="D13" s="1" t="str">
        <f aca="false">IFERROR(__xludf.dummyfunction("""COMPUTED_VALUE"""),"Mantenimientos")</f>
        <v>Mantenimientos</v>
      </c>
      <c r="E13" s="1" t="str">
        <f aca="false">IFERROR(__xludf.dummyfunction("""COMPUTED_VALUE"""),"Febrero")</f>
        <v>Febrero</v>
      </c>
      <c r="F13" s="1" t="n">
        <f aca="false">IFERROR(__xludf.dummyfunction("""COMPUTED_VALUE"""),2023)</f>
        <v>2023</v>
      </c>
    </row>
    <row r="14" customFormat="false" ht="15.75" hidden="false" customHeight="false" outlineLevel="0" collapsed="false">
      <c r="A14" s="2" t="str">
        <f aca="false">IFERROR(__xludf.dummyfunction("""COMPUTED_VALUE"""),"31/03/2023")</f>
        <v>31/03/2023</v>
      </c>
      <c r="B14" s="2" t="n">
        <f aca="false">IFERROR(__xludf.dummyfunction("""COMPUTED_VALUE"""),80000)</f>
        <v>80000</v>
      </c>
      <c r="C14" s="1" t="str">
        <f aca="false">IFERROR(__xludf.dummyfunction("""COMPUTED_VALUE"""),"Útiles de Aseo")</f>
        <v>Útiles de Aseo</v>
      </c>
      <c r="D14" s="1" t="str">
        <f aca="false">IFERROR(__xludf.dummyfunction("""COMPUTED_VALUE"""),"Útiles de Aseo")</f>
        <v>Útiles de Aseo</v>
      </c>
      <c r="E14" s="1" t="str">
        <f aca="false">IFERROR(__xludf.dummyfunction("""COMPUTED_VALUE"""),"Marzo")</f>
        <v>Marzo</v>
      </c>
      <c r="F14" s="1" t="n">
        <f aca="false">IFERROR(__xludf.dummyfunction("""COMPUTED_VALUE"""),2023)</f>
        <v>2023</v>
      </c>
    </row>
    <row r="15" customFormat="false" ht="15.75" hidden="false" customHeight="false" outlineLevel="0" collapsed="false">
      <c r="A15" s="2" t="str">
        <f aca="false">IFERROR(__xludf.dummyfunction("""COMPUTED_VALUE"""),"31/03/2023")</f>
        <v>31/03/2023</v>
      </c>
      <c r="B15" s="2" t="n">
        <f aca="false">IFERROR(__xludf.dummyfunction("""COMPUTED_VALUE"""),63000)</f>
        <v>63000</v>
      </c>
      <c r="C15" s="1" t="str">
        <f aca="false">IFERROR(__xludf.dummyfunction("""COMPUTED_VALUE"""),"Servicios Básicos")</f>
        <v>Servicios Básicos</v>
      </c>
      <c r="D15" s="1" t="str">
        <f aca="false">IFERROR(__xludf.dummyfunction("""COMPUTED_VALUE"""),"Servicios Básicos")</f>
        <v>Servicios Básicos</v>
      </c>
      <c r="E15" s="1" t="str">
        <f aca="false">IFERROR(__xludf.dummyfunction("""COMPUTED_VALUE"""),"Marzo")</f>
        <v>Marzo</v>
      </c>
      <c r="F15" s="1" t="n">
        <f aca="false">IFERROR(__xludf.dummyfunction("""COMPUTED_VALUE"""),2023)</f>
        <v>2023</v>
      </c>
    </row>
    <row r="16" customFormat="false" ht="15.75" hidden="false" customHeight="false" outlineLevel="0" collapsed="false">
      <c r="A16" s="2" t="str">
        <f aca="false">IFERROR(__xludf.dummyfunction("""COMPUTED_VALUE"""),"31/03/2023")</f>
        <v>31/03/2023</v>
      </c>
      <c r="B16" s="2" t="n">
        <f aca="false">IFERROR(__xludf.dummyfunction("""COMPUTED_VALUE"""),12000)</f>
        <v>12000</v>
      </c>
      <c r="C16" s="1" t="str">
        <f aca="false">IFERROR(__xludf.dummyfunction("""COMPUTED_VALUE"""),"Notaria")</f>
        <v>Notaria</v>
      </c>
      <c r="D16" s="1" t="str">
        <f aca="false">IFERROR(__xludf.dummyfunction("""COMPUTED_VALUE"""),"Trámites")</f>
        <v>Trámites</v>
      </c>
      <c r="E16" s="1" t="str">
        <f aca="false">IFERROR(__xludf.dummyfunction("""COMPUTED_VALUE"""),"Marzo")</f>
        <v>Marzo</v>
      </c>
      <c r="F16" s="1" t="n">
        <f aca="false">IFERROR(__xludf.dummyfunction("""COMPUTED_VALUE"""),2023)</f>
        <v>2023</v>
      </c>
    </row>
    <row r="17" customFormat="false" ht="15.75" hidden="false" customHeight="false" outlineLevel="0" collapsed="false">
      <c r="A17" s="2" t="str">
        <f aca="false">IFERROR(__xludf.dummyfunction("""COMPUTED_VALUE"""),"31/03/2023")</f>
        <v>31/03/2023</v>
      </c>
      <c r="B17" s="2" t="n">
        <f aca="false">IFERROR(__xludf.dummyfunction("""COMPUTED_VALUE"""),250000)</f>
        <v>250000</v>
      </c>
      <c r="C17" s="1" t="str">
        <f aca="false">IFERROR(__xludf.dummyfunction("""COMPUTED_VALUE"""),"Pago Administración")</f>
        <v>Pago Administración</v>
      </c>
      <c r="D17" s="1" t="str">
        <f aca="false">IFERROR(__xludf.dummyfunction("""COMPUTED_VALUE"""),"Remuneraciones")</f>
        <v>Remuneraciones</v>
      </c>
      <c r="E17" s="1" t="str">
        <f aca="false">IFERROR(__xludf.dummyfunction("""COMPUTED_VALUE"""),"Marzo")</f>
        <v>Marzo</v>
      </c>
      <c r="F17" s="1" t="n">
        <f aca="false">IFERROR(__xludf.dummyfunction("""COMPUTED_VALUE"""),2023)</f>
        <v>2023</v>
      </c>
    </row>
    <row r="18" customFormat="false" ht="15.75" hidden="false" customHeight="false" outlineLevel="0" collapsed="false">
      <c r="A18" s="2" t="str">
        <f aca="false">IFERROR(__xludf.dummyfunction("""COMPUTED_VALUE"""),"31/03/2023")</f>
        <v>31/03/2023</v>
      </c>
      <c r="B18" s="2" t="n">
        <f aca="false">IFERROR(__xludf.dummyfunction("""COMPUTED_VALUE"""),128000)</f>
        <v>128000</v>
      </c>
      <c r="C18" s="1" t="str">
        <f aca="false">IFERROR(__xludf.dummyfunction("""COMPUTED_VALUE"""),"Anticipos")</f>
        <v>Anticipos</v>
      </c>
      <c r="D18" s="1" t="str">
        <f aca="false">IFERROR(__xludf.dummyfunction("""COMPUTED_VALUE"""),"Remuneraciones")</f>
        <v>Remuneraciones</v>
      </c>
      <c r="E18" s="1" t="str">
        <f aca="false">IFERROR(__xludf.dummyfunction("""COMPUTED_VALUE"""),"Marzo")</f>
        <v>Marzo</v>
      </c>
      <c r="F18" s="1" t="n">
        <f aca="false">IFERROR(__xludf.dummyfunction("""COMPUTED_VALUE"""),2023)</f>
        <v>2023</v>
      </c>
    </row>
    <row r="19" customFormat="false" ht="15.75" hidden="false" customHeight="false" outlineLevel="0" collapsed="false">
      <c r="A19" s="2" t="str">
        <f aca="false">IFERROR(__xludf.dummyfunction("""COMPUTED_VALUE"""),"31/03/2023")</f>
        <v>31/03/2023</v>
      </c>
      <c r="B19" s="2" t="n">
        <f aca="false">IFERROR(__xludf.dummyfunction("""COMPUTED_VALUE"""),75000)</f>
        <v>75000</v>
      </c>
      <c r="C19" s="1" t="str">
        <f aca="false">IFERROR(__xludf.dummyfunction("""COMPUTED_VALUE"""),"Mantenimiento Hidropack")</f>
        <v>Mantenimiento Hidropack</v>
      </c>
      <c r="D19" s="1" t="str">
        <f aca="false">IFERROR(__xludf.dummyfunction("""COMPUTED_VALUE"""),"Mantenimientos")</f>
        <v>Mantenimientos</v>
      </c>
      <c r="E19" s="1" t="str">
        <f aca="false">IFERROR(__xludf.dummyfunction("""COMPUTED_VALUE"""),"Marzo")</f>
        <v>Marzo</v>
      </c>
      <c r="F19" s="1" t="n">
        <f aca="false">IFERROR(__xludf.dummyfunction("""COMPUTED_VALUE"""),2023)</f>
        <v>2023</v>
      </c>
    </row>
    <row r="20" customFormat="false" ht="15.75" hidden="false" customHeight="false" outlineLevel="0" collapsed="false">
      <c r="A20" s="2" t="str">
        <f aca="false">IFERROR(__xludf.dummyfunction("""COMPUTED_VALUE"""),"30/04/2023")</f>
        <v>30/04/2023</v>
      </c>
      <c r="B20" s="2" t="n">
        <f aca="false">IFERROR(__xludf.dummyfunction("""COMPUTED_VALUE"""),110000)</f>
        <v>110000</v>
      </c>
      <c r="C20" s="1" t="str">
        <f aca="false">IFERROR(__xludf.dummyfunction("""COMPUTED_VALUE"""),"Útiles de Aseo")</f>
        <v>Útiles de Aseo</v>
      </c>
      <c r="D20" s="1" t="str">
        <f aca="false">IFERROR(__xludf.dummyfunction("""COMPUTED_VALUE"""),"Útiles de Aseo")</f>
        <v>Útiles de Aseo</v>
      </c>
      <c r="E20" s="1" t="str">
        <f aca="false">IFERROR(__xludf.dummyfunction("""COMPUTED_VALUE"""),"Abril")</f>
        <v>Abril</v>
      </c>
      <c r="F20" s="1" t="n">
        <f aca="false">IFERROR(__xludf.dummyfunction("""COMPUTED_VALUE"""),2023)</f>
        <v>2023</v>
      </c>
    </row>
    <row r="21" customFormat="false" ht="15.75" hidden="false" customHeight="false" outlineLevel="0" collapsed="false">
      <c r="A21" s="2" t="str">
        <f aca="false">IFERROR(__xludf.dummyfunction("""COMPUTED_VALUE"""),"30/04/2023")</f>
        <v>30/04/2023</v>
      </c>
      <c r="B21" s="2" t="n">
        <f aca="false">IFERROR(__xludf.dummyfunction("""COMPUTED_VALUE"""),99000)</f>
        <v>99000</v>
      </c>
      <c r="C21" s="1" t="str">
        <f aca="false">IFERROR(__xludf.dummyfunction("""COMPUTED_VALUE"""),"Servicios Básicos")</f>
        <v>Servicios Básicos</v>
      </c>
      <c r="D21" s="1" t="str">
        <f aca="false">IFERROR(__xludf.dummyfunction("""COMPUTED_VALUE"""),"Servicios Básicos")</f>
        <v>Servicios Básicos</v>
      </c>
      <c r="E21" s="1" t="str">
        <f aca="false">IFERROR(__xludf.dummyfunction("""COMPUTED_VALUE"""),"Abril")</f>
        <v>Abril</v>
      </c>
      <c r="F21" s="1" t="n">
        <f aca="false">IFERROR(__xludf.dummyfunction("""COMPUTED_VALUE"""),2023)</f>
        <v>2023</v>
      </c>
    </row>
    <row r="22" customFormat="false" ht="15.75" hidden="false" customHeight="false" outlineLevel="0" collapsed="false">
      <c r="A22" s="2" t="str">
        <f aca="false">IFERROR(__xludf.dummyfunction("""COMPUTED_VALUE"""),"30/04/2023")</f>
        <v>30/04/2023</v>
      </c>
      <c r="B22" s="2" t="n">
        <f aca="false">IFERROR(__xludf.dummyfunction("""COMPUTED_VALUE"""),24000)</f>
        <v>24000</v>
      </c>
      <c r="C22" s="1" t="str">
        <f aca="false">IFERROR(__xludf.dummyfunction("""COMPUTED_VALUE"""),"Notaria")</f>
        <v>Notaria</v>
      </c>
      <c r="D22" s="1" t="str">
        <f aca="false">IFERROR(__xludf.dummyfunction("""COMPUTED_VALUE"""),"Trámites")</f>
        <v>Trámites</v>
      </c>
      <c r="E22" s="1" t="str">
        <f aca="false">IFERROR(__xludf.dummyfunction("""COMPUTED_VALUE"""),"Abril")</f>
        <v>Abril</v>
      </c>
      <c r="F22" s="1" t="n">
        <f aca="false">IFERROR(__xludf.dummyfunction("""COMPUTED_VALUE"""),2023)</f>
        <v>2023</v>
      </c>
    </row>
    <row r="23" customFormat="false" ht="15.75" hidden="false" customHeight="false" outlineLevel="0" collapsed="false">
      <c r="A23" s="2" t="str">
        <f aca="false">IFERROR(__xludf.dummyfunction("""COMPUTED_VALUE"""),"30/04/2023")</f>
        <v>30/04/2023</v>
      </c>
      <c r="B23" s="2" t="n">
        <f aca="false">IFERROR(__xludf.dummyfunction("""COMPUTED_VALUE"""),250000)</f>
        <v>250000</v>
      </c>
      <c r="C23" s="1" t="str">
        <f aca="false">IFERROR(__xludf.dummyfunction("""COMPUTED_VALUE"""),"Pago Administración")</f>
        <v>Pago Administración</v>
      </c>
      <c r="D23" s="1" t="str">
        <f aca="false">IFERROR(__xludf.dummyfunction("""COMPUTED_VALUE"""),"Remuneraciones")</f>
        <v>Remuneraciones</v>
      </c>
      <c r="E23" s="1" t="str">
        <f aca="false">IFERROR(__xludf.dummyfunction("""COMPUTED_VALUE"""),"Abril")</f>
        <v>Abril</v>
      </c>
      <c r="F23" s="1" t="n">
        <f aca="false">IFERROR(__xludf.dummyfunction("""COMPUTED_VALUE"""),2023)</f>
        <v>2023</v>
      </c>
    </row>
    <row r="24" customFormat="false" ht="15.75" hidden="false" customHeight="false" outlineLevel="0" collapsed="false">
      <c r="A24" s="2" t="str">
        <f aca="false">IFERROR(__xludf.dummyfunction("""COMPUTED_VALUE"""),"30/04/2023")</f>
        <v>30/04/2023</v>
      </c>
      <c r="B24" s="2" t="n">
        <f aca="false">IFERROR(__xludf.dummyfunction("""COMPUTED_VALUE"""),128000)</f>
        <v>128000</v>
      </c>
      <c r="C24" s="1" t="str">
        <f aca="false">IFERROR(__xludf.dummyfunction("""COMPUTED_VALUE"""),"Anticipos")</f>
        <v>Anticipos</v>
      </c>
      <c r="D24" s="1" t="str">
        <f aca="false">IFERROR(__xludf.dummyfunction("""COMPUTED_VALUE"""),"Remuneraciones")</f>
        <v>Remuneraciones</v>
      </c>
      <c r="E24" s="1" t="str">
        <f aca="false">IFERROR(__xludf.dummyfunction("""COMPUTED_VALUE"""),"Abril")</f>
        <v>Abril</v>
      </c>
      <c r="F24" s="1" t="n">
        <f aca="false">IFERROR(__xludf.dummyfunction("""COMPUTED_VALUE"""),2023)</f>
        <v>2023</v>
      </c>
    </row>
    <row r="25" customFormat="false" ht="15.75" hidden="false" customHeight="false" outlineLevel="0" collapsed="false">
      <c r="A25" s="2" t="str">
        <f aca="false">IFERROR(__xludf.dummyfunction("""COMPUTED_VALUE"""),"30/04/2023")</f>
        <v>30/04/2023</v>
      </c>
      <c r="B25" s="2" t="n">
        <f aca="false">IFERROR(__xludf.dummyfunction("""COMPUTED_VALUE"""),75000)</f>
        <v>75000</v>
      </c>
      <c r="C25" s="1" t="str">
        <f aca="false">IFERROR(__xludf.dummyfunction("""COMPUTED_VALUE"""),"Mantenimiento Hidropack")</f>
        <v>Mantenimiento Hidropack</v>
      </c>
      <c r="D25" s="1" t="str">
        <f aca="false">IFERROR(__xludf.dummyfunction("""COMPUTED_VALUE"""),"Mantenimientos")</f>
        <v>Mantenimientos</v>
      </c>
      <c r="E25" s="1" t="str">
        <f aca="false">IFERROR(__xludf.dummyfunction("""COMPUTED_VALUE"""),"Abril")</f>
        <v>Abril</v>
      </c>
      <c r="F25" s="1" t="n">
        <f aca="false">IFERROR(__xludf.dummyfunction("""COMPUTED_VALUE"""),2023)</f>
        <v>2023</v>
      </c>
    </row>
    <row r="26" customFormat="false" ht="15.75" hidden="false" customHeight="false" outlineLevel="0" collapsed="false">
      <c r="A26" s="2" t="str">
        <f aca="false">IFERROR(__xludf.dummyfunction("""COMPUTED_VALUE"""),"31/05/2023")</f>
        <v>31/05/2023</v>
      </c>
      <c r="B26" s="2" t="n">
        <f aca="false">IFERROR(__xludf.dummyfunction("""COMPUTED_VALUE"""),88000)</f>
        <v>88000</v>
      </c>
      <c r="C26" s="1" t="str">
        <f aca="false">IFERROR(__xludf.dummyfunction("""COMPUTED_VALUE"""),"Útiles de Aseo")</f>
        <v>Útiles de Aseo</v>
      </c>
      <c r="D26" s="1" t="str">
        <f aca="false">IFERROR(__xludf.dummyfunction("""COMPUTED_VALUE"""),"Útiles de Aseo")</f>
        <v>Útiles de Aseo</v>
      </c>
      <c r="E26" s="1" t="str">
        <f aca="false">IFERROR(__xludf.dummyfunction("""COMPUTED_VALUE"""),"Mayo")</f>
        <v>Mayo</v>
      </c>
      <c r="F26" s="1" t="n">
        <f aca="false">IFERROR(__xludf.dummyfunction("""COMPUTED_VALUE"""),2023)</f>
        <v>2023</v>
      </c>
    </row>
    <row r="27" customFormat="false" ht="15.75" hidden="false" customHeight="false" outlineLevel="0" collapsed="false">
      <c r="A27" s="2" t="str">
        <f aca="false">IFERROR(__xludf.dummyfunction("""COMPUTED_VALUE"""),"31/05/2023")</f>
        <v>31/05/2023</v>
      </c>
      <c r="B27" s="2" t="n">
        <f aca="false">IFERROR(__xludf.dummyfunction("""COMPUTED_VALUE"""),111000)</f>
        <v>111000</v>
      </c>
      <c r="C27" s="1" t="str">
        <f aca="false">IFERROR(__xludf.dummyfunction("""COMPUTED_VALUE"""),"Servicios Básicos")</f>
        <v>Servicios Básicos</v>
      </c>
      <c r="D27" s="1" t="str">
        <f aca="false">IFERROR(__xludf.dummyfunction("""COMPUTED_VALUE"""),"Servicios Básicos")</f>
        <v>Servicios Básicos</v>
      </c>
      <c r="E27" s="1" t="str">
        <f aca="false">IFERROR(__xludf.dummyfunction("""COMPUTED_VALUE"""),"Mayo")</f>
        <v>Mayo</v>
      </c>
      <c r="F27" s="1" t="n">
        <f aca="false">IFERROR(__xludf.dummyfunction("""COMPUTED_VALUE"""),2023)</f>
        <v>2023</v>
      </c>
    </row>
    <row r="28" customFormat="false" ht="15.75" hidden="false" customHeight="false" outlineLevel="0" collapsed="false">
      <c r="A28" s="2" t="str">
        <f aca="false">IFERROR(__xludf.dummyfunction("""COMPUTED_VALUE"""),"31/05/2023")</f>
        <v>31/05/2023</v>
      </c>
      <c r="B28" s="2" t="n">
        <f aca="false">IFERROR(__xludf.dummyfunction("""COMPUTED_VALUE"""),21000)</f>
        <v>21000</v>
      </c>
      <c r="C28" s="1" t="str">
        <f aca="false">IFERROR(__xludf.dummyfunction("""COMPUTED_VALUE"""),"Notaria")</f>
        <v>Notaria</v>
      </c>
      <c r="D28" s="1" t="str">
        <f aca="false">IFERROR(__xludf.dummyfunction("""COMPUTED_VALUE"""),"Trámites")</f>
        <v>Trámites</v>
      </c>
      <c r="E28" s="1" t="str">
        <f aca="false">IFERROR(__xludf.dummyfunction("""COMPUTED_VALUE"""),"Mayo")</f>
        <v>Mayo</v>
      </c>
      <c r="F28" s="1" t="n">
        <f aca="false">IFERROR(__xludf.dummyfunction("""COMPUTED_VALUE"""),2023)</f>
        <v>2023</v>
      </c>
    </row>
    <row r="29" customFormat="false" ht="15.75" hidden="false" customHeight="false" outlineLevel="0" collapsed="false">
      <c r="A29" s="2" t="str">
        <f aca="false">IFERROR(__xludf.dummyfunction("""COMPUTED_VALUE"""),"31/05/2023")</f>
        <v>31/05/2023</v>
      </c>
      <c r="B29" s="2" t="n">
        <f aca="false">IFERROR(__xludf.dummyfunction("""COMPUTED_VALUE"""),250000)</f>
        <v>250000</v>
      </c>
      <c r="C29" s="1" t="str">
        <f aca="false">IFERROR(__xludf.dummyfunction("""COMPUTED_VALUE"""),"Pago Administración")</f>
        <v>Pago Administración</v>
      </c>
      <c r="D29" s="1" t="str">
        <f aca="false">IFERROR(__xludf.dummyfunction("""COMPUTED_VALUE"""),"Remuneraciones")</f>
        <v>Remuneraciones</v>
      </c>
      <c r="E29" s="1" t="str">
        <f aca="false">IFERROR(__xludf.dummyfunction("""COMPUTED_VALUE"""),"Mayo")</f>
        <v>Mayo</v>
      </c>
      <c r="F29" s="1" t="n">
        <f aca="false">IFERROR(__xludf.dummyfunction("""COMPUTED_VALUE"""),2023)</f>
        <v>2023</v>
      </c>
    </row>
    <row r="30" customFormat="false" ht="15.75" hidden="false" customHeight="false" outlineLevel="0" collapsed="false">
      <c r="A30" s="2" t="str">
        <f aca="false">IFERROR(__xludf.dummyfunction("""COMPUTED_VALUE"""),"31/05/2023")</f>
        <v>31/05/2023</v>
      </c>
      <c r="B30" s="2" t="n">
        <f aca="false">IFERROR(__xludf.dummyfunction("""COMPUTED_VALUE"""),128000)</f>
        <v>128000</v>
      </c>
      <c r="C30" s="1" t="str">
        <f aca="false">IFERROR(__xludf.dummyfunction("""COMPUTED_VALUE"""),"Anticipos")</f>
        <v>Anticipos</v>
      </c>
      <c r="D30" s="1" t="str">
        <f aca="false">IFERROR(__xludf.dummyfunction("""COMPUTED_VALUE"""),"Remuneraciones")</f>
        <v>Remuneraciones</v>
      </c>
      <c r="E30" s="1" t="str">
        <f aca="false">IFERROR(__xludf.dummyfunction("""COMPUTED_VALUE"""),"Mayo")</f>
        <v>Mayo</v>
      </c>
      <c r="F30" s="1" t="n">
        <f aca="false">IFERROR(__xludf.dummyfunction("""COMPUTED_VALUE"""),2023)</f>
        <v>2023</v>
      </c>
    </row>
    <row r="31" customFormat="false" ht="15.75" hidden="false" customHeight="false" outlineLevel="0" collapsed="false">
      <c r="A31" s="2" t="str">
        <f aca="false">IFERROR(__xludf.dummyfunction("""COMPUTED_VALUE"""),"31/05/2023")</f>
        <v>31/05/2023</v>
      </c>
      <c r="B31" s="2" t="n">
        <f aca="false">IFERROR(__xludf.dummyfunction("""COMPUTED_VALUE"""),75000)</f>
        <v>75000</v>
      </c>
      <c r="C31" s="1" t="str">
        <f aca="false">IFERROR(__xludf.dummyfunction("""COMPUTED_VALUE"""),"Mantenimiento Hidropack")</f>
        <v>Mantenimiento Hidropack</v>
      </c>
      <c r="D31" s="1" t="str">
        <f aca="false">IFERROR(__xludf.dummyfunction("""COMPUTED_VALUE"""),"Mantenimientos")</f>
        <v>Mantenimientos</v>
      </c>
      <c r="E31" s="1" t="str">
        <f aca="false">IFERROR(__xludf.dummyfunction("""COMPUTED_VALUE"""),"Mayo")</f>
        <v>Mayo</v>
      </c>
      <c r="F31" s="1" t="n">
        <f aca="false">IFERROR(__xludf.dummyfunction("""COMPUTED_VALUE"""),2023)</f>
        <v>2023</v>
      </c>
    </row>
    <row r="32" customFormat="false" ht="15.75" hidden="false" customHeight="false" outlineLevel="0" collapsed="false">
      <c r="A32" s="2" t="str">
        <f aca="false">IFERROR(__xludf.dummyfunction("""COMPUTED_VALUE"""),"30/06/2023")</f>
        <v>30/06/2023</v>
      </c>
      <c r="B32" s="2" t="n">
        <f aca="false">IFERROR(__xludf.dummyfunction("""COMPUTED_VALUE"""),95000)</f>
        <v>95000</v>
      </c>
      <c r="C32" s="1" t="str">
        <f aca="false">IFERROR(__xludf.dummyfunction("""COMPUTED_VALUE"""),"Útiles de Aseo")</f>
        <v>Útiles de Aseo</v>
      </c>
      <c r="D32" s="1" t="str">
        <f aca="false">IFERROR(__xludf.dummyfunction("""COMPUTED_VALUE"""),"Útiles de Aseo")</f>
        <v>Útiles de Aseo</v>
      </c>
      <c r="E32" s="1" t="str">
        <f aca="false">IFERROR(__xludf.dummyfunction("""COMPUTED_VALUE"""),"Junio")</f>
        <v>Junio</v>
      </c>
      <c r="F32" s="1" t="n">
        <f aca="false">IFERROR(__xludf.dummyfunction("""COMPUTED_VALUE"""),2023)</f>
        <v>2023</v>
      </c>
    </row>
    <row r="33" customFormat="false" ht="15.75" hidden="false" customHeight="false" outlineLevel="0" collapsed="false">
      <c r="A33" s="2" t="str">
        <f aca="false">IFERROR(__xludf.dummyfunction("""COMPUTED_VALUE"""),"30/06/2023")</f>
        <v>30/06/2023</v>
      </c>
      <c r="B33" s="2" t="n">
        <f aca="false">IFERROR(__xludf.dummyfunction("""COMPUTED_VALUE"""),120000)</f>
        <v>120000</v>
      </c>
      <c r="C33" s="1" t="str">
        <f aca="false">IFERROR(__xludf.dummyfunction("""COMPUTED_VALUE"""),"Servicios Básicos")</f>
        <v>Servicios Básicos</v>
      </c>
      <c r="D33" s="1" t="str">
        <f aca="false">IFERROR(__xludf.dummyfunction("""COMPUTED_VALUE"""),"Servicios Básicos")</f>
        <v>Servicios Básicos</v>
      </c>
      <c r="E33" s="1" t="str">
        <f aca="false">IFERROR(__xludf.dummyfunction("""COMPUTED_VALUE"""),"Junio")</f>
        <v>Junio</v>
      </c>
      <c r="F33" s="1" t="n">
        <f aca="false">IFERROR(__xludf.dummyfunction("""COMPUTED_VALUE"""),2023)</f>
        <v>2023</v>
      </c>
    </row>
    <row r="34" customFormat="false" ht="15.75" hidden="false" customHeight="false" outlineLevel="0" collapsed="false">
      <c r="A34" s="2" t="str">
        <f aca="false">IFERROR(__xludf.dummyfunction("""COMPUTED_VALUE"""),"30/06/2023")</f>
        <v>30/06/2023</v>
      </c>
      <c r="B34" s="2" t="n">
        <f aca="false">IFERROR(__xludf.dummyfunction("""COMPUTED_VALUE"""),33000)</f>
        <v>33000</v>
      </c>
      <c r="C34" s="1" t="str">
        <f aca="false">IFERROR(__xludf.dummyfunction("""COMPUTED_VALUE"""),"Notaria")</f>
        <v>Notaria</v>
      </c>
      <c r="D34" s="1" t="str">
        <f aca="false">IFERROR(__xludf.dummyfunction("""COMPUTED_VALUE"""),"Trámites")</f>
        <v>Trámites</v>
      </c>
      <c r="E34" s="1" t="str">
        <f aca="false">IFERROR(__xludf.dummyfunction("""COMPUTED_VALUE"""),"Junio")</f>
        <v>Junio</v>
      </c>
      <c r="F34" s="1" t="n">
        <f aca="false">IFERROR(__xludf.dummyfunction("""COMPUTED_VALUE"""),2023)</f>
        <v>2023</v>
      </c>
    </row>
    <row r="35" customFormat="false" ht="15.75" hidden="false" customHeight="false" outlineLevel="0" collapsed="false">
      <c r="A35" s="2" t="str">
        <f aca="false">IFERROR(__xludf.dummyfunction("""COMPUTED_VALUE"""),"30/06/2023")</f>
        <v>30/06/2023</v>
      </c>
      <c r="B35" s="2" t="n">
        <f aca="false">IFERROR(__xludf.dummyfunction("""COMPUTED_VALUE"""),250000)</f>
        <v>250000</v>
      </c>
      <c r="C35" s="1" t="str">
        <f aca="false">IFERROR(__xludf.dummyfunction("""COMPUTED_VALUE"""),"Pago Administración")</f>
        <v>Pago Administración</v>
      </c>
      <c r="D35" s="1" t="str">
        <f aca="false">IFERROR(__xludf.dummyfunction("""COMPUTED_VALUE"""),"Remuneraciones")</f>
        <v>Remuneraciones</v>
      </c>
      <c r="E35" s="1" t="str">
        <f aca="false">IFERROR(__xludf.dummyfunction("""COMPUTED_VALUE"""),"Junio")</f>
        <v>Junio</v>
      </c>
      <c r="F35" s="1" t="n">
        <f aca="false">IFERROR(__xludf.dummyfunction("""COMPUTED_VALUE"""),2023)</f>
        <v>2023</v>
      </c>
    </row>
    <row r="36" customFormat="false" ht="15.75" hidden="false" customHeight="false" outlineLevel="0" collapsed="false">
      <c r="A36" s="2" t="str">
        <f aca="false">IFERROR(__xludf.dummyfunction("""COMPUTED_VALUE"""),"30/06/2023")</f>
        <v>30/06/2023</v>
      </c>
      <c r="B36" s="2" t="n">
        <f aca="false">IFERROR(__xludf.dummyfunction("""COMPUTED_VALUE"""),128000)</f>
        <v>128000</v>
      </c>
      <c r="C36" s="1" t="str">
        <f aca="false">IFERROR(__xludf.dummyfunction("""COMPUTED_VALUE"""),"Anticipos")</f>
        <v>Anticipos</v>
      </c>
      <c r="D36" s="1" t="str">
        <f aca="false">IFERROR(__xludf.dummyfunction("""COMPUTED_VALUE"""),"Remuneraciones")</f>
        <v>Remuneraciones</v>
      </c>
      <c r="E36" s="1" t="str">
        <f aca="false">IFERROR(__xludf.dummyfunction("""COMPUTED_VALUE"""),"Junio")</f>
        <v>Junio</v>
      </c>
      <c r="F36" s="1" t="n">
        <f aca="false">IFERROR(__xludf.dummyfunction("""COMPUTED_VALUE"""),2023)</f>
        <v>2023</v>
      </c>
    </row>
    <row r="37" customFormat="false" ht="15.75" hidden="false" customHeight="false" outlineLevel="0" collapsed="false">
      <c r="A37" s="2" t="str">
        <f aca="false">IFERROR(__xludf.dummyfunction("""COMPUTED_VALUE"""),"30/06/2023")</f>
        <v>30/06/2023</v>
      </c>
      <c r="B37" s="2" t="n">
        <f aca="false">IFERROR(__xludf.dummyfunction("""COMPUTED_VALUE"""),75000)</f>
        <v>75000</v>
      </c>
      <c r="C37" s="1" t="str">
        <f aca="false">IFERROR(__xludf.dummyfunction("""COMPUTED_VALUE"""),"Mantenimiento Hidropack")</f>
        <v>Mantenimiento Hidropack</v>
      </c>
      <c r="D37" s="1" t="str">
        <f aca="false">IFERROR(__xludf.dummyfunction("""COMPUTED_VALUE"""),"Mantenimientos")</f>
        <v>Mantenimientos</v>
      </c>
      <c r="E37" s="1" t="str">
        <f aca="false">IFERROR(__xludf.dummyfunction("""COMPUTED_VALUE"""),"Junio")</f>
        <v>Junio</v>
      </c>
      <c r="F37" s="1" t="n">
        <f aca="false">IFERROR(__xludf.dummyfunction("""COMPUTED_VALUE"""),2023)</f>
        <v>2023</v>
      </c>
    </row>
    <row r="38" customFormat="false" ht="15.75" hidden="false" customHeight="false" outlineLevel="0" collapsed="false">
      <c r="A38" s="2" t="str">
        <f aca="false">IFERROR(__xludf.dummyfunction("""COMPUTED_VALUE"""),"31/07/2023")</f>
        <v>31/07/2023</v>
      </c>
      <c r="B38" s="2" t="n">
        <f aca="false">IFERROR(__xludf.dummyfunction("""COMPUTED_VALUE"""),80000)</f>
        <v>80000</v>
      </c>
      <c r="C38" s="1" t="str">
        <f aca="false">IFERROR(__xludf.dummyfunction("""COMPUTED_VALUE"""),"Útiles de Aseo")</f>
        <v>Útiles de Aseo</v>
      </c>
      <c r="D38" s="1" t="str">
        <f aca="false">IFERROR(__xludf.dummyfunction("""COMPUTED_VALUE"""),"Útiles de Aseo")</f>
        <v>Útiles de Aseo</v>
      </c>
      <c r="E38" s="1" t="str">
        <f aca="false">IFERROR(__xludf.dummyfunction("""COMPUTED_VALUE"""),"Julio")</f>
        <v>Julio</v>
      </c>
      <c r="F38" s="1" t="n">
        <f aca="false">IFERROR(__xludf.dummyfunction("""COMPUTED_VALUE"""),2023)</f>
        <v>2023</v>
      </c>
    </row>
    <row r="39" customFormat="false" ht="15.75" hidden="false" customHeight="false" outlineLevel="0" collapsed="false">
      <c r="A39" s="2" t="str">
        <f aca="false">IFERROR(__xludf.dummyfunction("""COMPUTED_VALUE"""),"31/07/2023")</f>
        <v>31/07/2023</v>
      </c>
      <c r="B39" s="2" t="n">
        <f aca="false">IFERROR(__xludf.dummyfunction("""COMPUTED_VALUE"""),63000)</f>
        <v>63000</v>
      </c>
      <c r="C39" s="1" t="str">
        <f aca="false">IFERROR(__xludf.dummyfunction("""COMPUTED_VALUE"""),"Servicios Básicos")</f>
        <v>Servicios Básicos</v>
      </c>
      <c r="D39" s="1" t="str">
        <f aca="false">IFERROR(__xludf.dummyfunction("""COMPUTED_VALUE"""),"Servicios Básicos")</f>
        <v>Servicios Básicos</v>
      </c>
      <c r="E39" s="1" t="str">
        <f aca="false">IFERROR(__xludf.dummyfunction("""COMPUTED_VALUE"""),"Julio")</f>
        <v>Julio</v>
      </c>
      <c r="F39" s="1" t="n">
        <f aca="false">IFERROR(__xludf.dummyfunction("""COMPUTED_VALUE"""),2023)</f>
        <v>2023</v>
      </c>
    </row>
    <row r="40" customFormat="false" ht="15.75" hidden="false" customHeight="false" outlineLevel="0" collapsed="false">
      <c r="A40" s="2" t="str">
        <f aca="false">IFERROR(__xludf.dummyfunction("""COMPUTED_VALUE"""),"31/07/2023")</f>
        <v>31/07/2023</v>
      </c>
      <c r="B40" s="2" t="n">
        <f aca="false">IFERROR(__xludf.dummyfunction("""COMPUTED_VALUE"""),12000)</f>
        <v>12000</v>
      </c>
      <c r="C40" s="1" t="str">
        <f aca="false">IFERROR(__xludf.dummyfunction("""COMPUTED_VALUE"""),"Notaria")</f>
        <v>Notaria</v>
      </c>
      <c r="D40" s="1" t="str">
        <f aca="false">IFERROR(__xludf.dummyfunction("""COMPUTED_VALUE"""),"Trámites")</f>
        <v>Trámites</v>
      </c>
      <c r="E40" s="1" t="str">
        <f aca="false">IFERROR(__xludf.dummyfunction("""COMPUTED_VALUE"""),"Julio")</f>
        <v>Julio</v>
      </c>
      <c r="F40" s="1" t="n">
        <f aca="false">IFERROR(__xludf.dummyfunction("""COMPUTED_VALUE"""),2023)</f>
        <v>2023</v>
      </c>
    </row>
    <row r="41" customFormat="false" ht="15.75" hidden="false" customHeight="false" outlineLevel="0" collapsed="false">
      <c r="A41" s="2" t="str">
        <f aca="false">IFERROR(__xludf.dummyfunction("""COMPUTED_VALUE"""),"31/07/2023")</f>
        <v>31/07/2023</v>
      </c>
      <c r="B41" s="2" t="n">
        <f aca="false">IFERROR(__xludf.dummyfunction("""COMPUTED_VALUE"""),250000)</f>
        <v>250000</v>
      </c>
      <c r="C41" s="1" t="str">
        <f aca="false">IFERROR(__xludf.dummyfunction("""COMPUTED_VALUE"""),"Pago Administración")</f>
        <v>Pago Administración</v>
      </c>
      <c r="D41" s="1" t="str">
        <f aca="false">IFERROR(__xludf.dummyfunction("""COMPUTED_VALUE"""),"Remuneraciones")</f>
        <v>Remuneraciones</v>
      </c>
      <c r="E41" s="1" t="str">
        <f aca="false">IFERROR(__xludf.dummyfunction("""COMPUTED_VALUE"""),"Julio")</f>
        <v>Julio</v>
      </c>
      <c r="F41" s="1" t="n">
        <f aca="false">IFERROR(__xludf.dummyfunction("""COMPUTED_VALUE"""),2023)</f>
        <v>2023</v>
      </c>
    </row>
    <row r="42" customFormat="false" ht="15.75" hidden="false" customHeight="false" outlineLevel="0" collapsed="false">
      <c r="A42" s="2" t="str">
        <f aca="false">IFERROR(__xludf.dummyfunction("""COMPUTED_VALUE"""),"31/07/2023")</f>
        <v>31/07/2023</v>
      </c>
      <c r="B42" s="2" t="n">
        <f aca="false">IFERROR(__xludf.dummyfunction("""COMPUTED_VALUE"""),128000)</f>
        <v>128000</v>
      </c>
      <c r="C42" s="1" t="str">
        <f aca="false">IFERROR(__xludf.dummyfunction("""COMPUTED_VALUE"""),"Anticipos")</f>
        <v>Anticipos</v>
      </c>
      <c r="D42" s="1" t="str">
        <f aca="false">IFERROR(__xludf.dummyfunction("""COMPUTED_VALUE"""),"Remuneraciones")</f>
        <v>Remuneraciones</v>
      </c>
      <c r="E42" s="1" t="str">
        <f aca="false">IFERROR(__xludf.dummyfunction("""COMPUTED_VALUE"""),"Julio")</f>
        <v>Julio</v>
      </c>
      <c r="F42" s="1" t="n">
        <f aca="false">IFERROR(__xludf.dummyfunction("""COMPUTED_VALUE"""),2023)</f>
        <v>2023</v>
      </c>
    </row>
    <row r="43" customFormat="false" ht="15.75" hidden="false" customHeight="false" outlineLevel="0" collapsed="false">
      <c r="A43" s="2" t="str">
        <f aca="false">IFERROR(__xludf.dummyfunction("""COMPUTED_VALUE"""),"31/07/2023")</f>
        <v>31/07/2023</v>
      </c>
      <c r="B43" s="2" t="n">
        <f aca="false">IFERROR(__xludf.dummyfunction("""COMPUTED_VALUE"""),75000)</f>
        <v>75000</v>
      </c>
      <c r="C43" s="1" t="str">
        <f aca="false">IFERROR(__xludf.dummyfunction("""COMPUTED_VALUE"""),"Mantenimiento Hidropack")</f>
        <v>Mantenimiento Hidropack</v>
      </c>
      <c r="D43" s="1" t="str">
        <f aca="false">IFERROR(__xludf.dummyfunction("""COMPUTED_VALUE"""),"Mantenimientos")</f>
        <v>Mantenimientos</v>
      </c>
      <c r="E43" s="1" t="str">
        <f aca="false">IFERROR(__xludf.dummyfunction("""COMPUTED_VALUE"""),"Julio")</f>
        <v>Julio</v>
      </c>
      <c r="F43" s="1" t="n">
        <f aca="false">IFERROR(__xludf.dummyfunction("""COMPUTED_VALUE"""),2023)</f>
        <v>2023</v>
      </c>
    </row>
    <row r="44" customFormat="false" ht="15.75" hidden="false" customHeight="false" outlineLevel="0" collapsed="false">
      <c r="A44" s="2" t="str">
        <f aca="false">IFERROR(__xludf.dummyfunction("""COMPUTED_VALUE"""),"31/08/2023")</f>
        <v>31/08/2023</v>
      </c>
      <c r="B44" s="2" t="n">
        <f aca="false">IFERROR(__xludf.dummyfunction("""COMPUTED_VALUE"""),211690)</f>
        <v>211690</v>
      </c>
      <c r="C44" s="1" t="str">
        <f aca="false">IFERROR(__xludf.dummyfunction("""COMPUTED_VALUE"""),"Útiles de Aseo")</f>
        <v>Útiles de Aseo</v>
      </c>
      <c r="D44" s="1" t="str">
        <f aca="false">IFERROR(__xludf.dummyfunction("""COMPUTED_VALUE"""),"Útiles de Aseo")</f>
        <v>Útiles de Aseo</v>
      </c>
      <c r="E44" s="1" t="str">
        <f aca="false">IFERROR(__xludf.dummyfunction("""COMPUTED_VALUE"""),"Agosto")</f>
        <v>Agosto</v>
      </c>
      <c r="F44" s="1" t="n">
        <f aca="false">IFERROR(__xludf.dummyfunction("""COMPUTED_VALUE"""),2023)</f>
        <v>2023</v>
      </c>
    </row>
    <row r="45" customFormat="false" ht="15.75" hidden="false" customHeight="false" outlineLevel="0" collapsed="false">
      <c r="A45" s="2" t="str">
        <f aca="false">IFERROR(__xludf.dummyfunction("""COMPUTED_VALUE"""),"31/08/2023")</f>
        <v>31/08/2023</v>
      </c>
      <c r="B45" s="2" t="n">
        <f aca="false">IFERROR(__xludf.dummyfunction("""COMPUTED_VALUE"""),170616)</f>
        <v>170616</v>
      </c>
      <c r="C45" s="1" t="str">
        <f aca="false">IFERROR(__xludf.dummyfunction("""COMPUTED_VALUE"""),"Servicios Básicos")</f>
        <v>Servicios Básicos</v>
      </c>
      <c r="D45" s="1" t="str">
        <f aca="false">IFERROR(__xludf.dummyfunction("""COMPUTED_VALUE"""),"Servicios Básicos")</f>
        <v>Servicios Básicos</v>
      </c>
      <c r="E45" s="1" t="str">
        <f aca="false">IFERROR(__xludf.dummyfunction("""COMPUTED_VALUE"""),"Agosto")</f>
        <v>Agosto</v>
      </c>
      <c r="F45" s="1" t="n">
        <f aca="false">IFERROR(__xludf.dummyfunction("""COMPUTED_VALUE"""),2023)</f>
        <v>2023</v>
      </c>
    </row>
    <row r="46" customFormat="false" ht="15.75" hidden="false" customHeight="false" outlineLevel="0" collapsed="false">
      <c r="A46" s="2" t="str">
        <f aca="false">IFERROR(__xludf.dummyfunction("""COMPUTED_VALUE"""),"31/08/2023")</f>
        <v>31/08/2023</v>
      </c>
      <c r="B46" s="2" t="n">
        <f aca="false">IFERROR(__xludf.dummyfunction("""COMPUTED_VALUE"""),150000)</f>
        <v>150000</v>
      </c>
      <c r="C46" s="1" t="str">
        <f aca="false">IFERROR(__xludf.dummyfunction("""COMPUTED_VALUE"""),"Pago Administración ")</f>
        <v>Pago Administración </v>
      </c>
      <c r="D46" s="1" t="str">
        <f aca="false">IFERROR(__xludf.dummyfunction("""COMPUTED_VALUE"""),"Remuneraciones")</f>
        <v>Remuneraciones</v>
      </c>
      <c r="E46" s="1" t="str">
        <f aca="false">IFERROR(__xludf.dummyfunction("""COMPUTED_VALUE"""),"Agosto")</f>
        <v>Agosto</v>
      </c>
      <c r="F46" s="1" t="n">
        <f aca="false">IFERROR(__xludf.dummyfunction("""COMPUTED_VALUE"""),2023)</f>
        <v>2023</v>
      </c>
    </row>
    <row r="47" customFormat="false" ht="15.75" hidden="false" customHeight="false" outlineLevel="0" collapsed="false">
      <c r="A47" s="2" t="str">
        <f aca="false">IFERROR(__xludf.dummyfunction("""COMPUTED_VALUE"""),"31/08/2023")</f>
        <v>31/08/2023</v>
      </c>
      <c r="B47" s="2" t="n">
        <f aca="false">IFERROR(__xludf.dummyfunction("""COMPUTED_VALUE"""),29740)</f>
        <v>29740</v>
      </c>
      <c r="C47" s="1" t="str">
        <f aca="false">IFERROR(__xludf.dummyfunction("""COMPUTED_VALUE"""),"Notaria")</f>
        <v>Notaria</v>
      </c>
      <c r="D47" s="1" t="str">
        <f aca="false">IFERROR(__xludf.dummyfunction("""COMPUTED_VALUE"""),"Trámites")</f>
        <v>Trámites</v>
      </c>
      <c r="E47" s="1" t="str">
        <f aca="false">IFERROR(__xludf.dummyfunction("""COMPUTED_VALUE"""),"Agosto")</f>
        <v>Agosto</v>
      </c>
      <c r="F47" s="1" t="n">
        <f aca="false">IFERROR(__xludf.dummyfunction("""COMPUTED_VALUE"""),2023)</f>
        <v>2023</v>
      </c>
    </row>
    <row r="48" customFormat="false" ht="15.75" hidden="false" customHeight="false" outlineLevel="0" collapsed="false">
      <c r="A48" s="2" t="str">
        <f aca="false">IFERROR(__xludf.dummyfunction("""COMPUTED_VALUE"""),"30/09/2023")</f>
        <v>30/09/2023</v>
      </c>
      <c r="B48" s="2" t="n">
        <f aca="false">IFERROR(__xludf.dummyfunction("""COMPUTED_VALUE"""),90270)</f>
        <v>90270</v>
      </c>
      <c r="C48" s="1" t="str">
        <f aca="false">IFERROR(__xludf.dummyfunction("""COMPUTED_VALUE"""),"Útiles de Aseo")</f>
        <v>Útiles de Aseo</v>
      </c>
      <c r="D48" s="1" t="str">
        <f aca="false">IFERROR(__xludf.dummyfunction("""COMPUTED_VALUE"""),"Útiles de Aseo")</f>
        <v>Útiles de Aseo</v>
      </c>
      <c r="E48" s="1" t="str">
        <f aca="false">IFERROR(__xludf.dummyfunction("""COMPUTED_VALUE"""),"Septiembre")</f>
        <v>Septiembre</v>
      </c>
      <c r="F48" s="1" t="n">
        <f aca="false">IFERROR(__xludf.dummyfunction("""COMPUTED_VALUE"""),2023)</f>
        <v>2023</v>
      </c>
    </row>
    <row r="49" customFormat="false" ht="15.75" hidden="false" customHeight="false" outlineLevel="0" collapsed="false">
      <c r="A49" s="2" t="str">
        <f aca="false">IFERROR(__xludf.dummyfunction("""COMPUTED_VALUE"""),"30/09/2023")</f>
        <v>30/09/2023</v>
      </c>
      <c r="B49" s="2" t="n">
        <f aca="false">IFERROR(__xludf.dummyfunction("""COMPUTED_VALUE"""),155370)</f>
        <v>155370</v>
      </c>
      <c r="C49" s="1" t="str">
        <f aca="false">IFERROR(__xludf.dummyfunction("""COMPUTED_VALUE"""),"Servicios Básicos")</f>
        <v>Servicios Básicos</v>
      </c>
      <c r="D49" s="1" t="str">
        <f aca="false">IFERROR(__xludf.dummyfunction("""COMPUTED_VALUE"""),"Servicios Básicos")</f>
        <v>Servicios Básicos</v>
      </c>
      <c r="E49" s="1" t="str">
        <f aca="false">IFERROR(__xludf.dummyfunction("""COMPUTED_VALUE"""),"Septiembre")</f>
        <v>Septiembre</v>
      </c>
      <c r="F49" s="1" t="n">
        <f aca="false">IFERROR(__xludf.dummyfunction("""COMPUTED_VALUE"""),2023)</f>
        <v>2023</v>
      </c>
    </row>
    <row r="50" customFormat="false" ht="15.75" hidden="false" customHeight="false" outlineLevel="0" collapsed="false">
      <c r="A50" s="2" t="str">
        <f aca="false">IFERROR(__xludf.dummyfunction("""COMPUTED_VALUE"""),"31/10/2023")</f>
        <v>31/10/2023</v>
      </c>
      <c r="B50" s="2" t="n">
        <f aca="false">IFERROR(__xludf.dummyfunction("""COMPUTED_VALUE"""),56830)</f>
        <v>56830</v>
      </c>
      <c r="C50" s="1" t="str">
        <f aca="false">IFERROR(__xludf.dummyfunction("""COMPUTED_VALUE"""),"Útiles de Aseo")</f>
        <v>Útiles de Aseo</v>
      </c>
      <c r="D50" s="1" t="str">
        <f aca="false">IFERROR(__xludf.dummyfunction("""COMPUTED_VALUE"""),"Útiles de Aseo")</f>
        <v>Útiles de Aseo</v>
      </c>
      <c r="E50" s="1" t="str">
        <f aca="false">IFERROR(__xludf.dummyfunction("""COMPUTED_VALUE"""),"Octubre")</f>
        <v>Octubre</v>
      </c>
      <c r="F50" s="1" t="n">
        <f aca="false">IFERROR(__xludf.dummyfunction("""COMPUTED_VALUE"""),2023)</f>
        <v>2023</v>
      </c>
    </row>
    <row r="51" customFormat="false" ht="15.75" hidden="false" customHeight="false" outlineLevel="0" collapsed="false">
      <c r="A51" s="2" t="str">
        <f aca="false">IFERROR(__xludf.dummyfunction("""COMPUTED_VALUE"""),"31/10/2023")</f>
        <v>31/10/2023</v>
      </c>
      <c r="B51" s="2" t="n">
        <f aca="false">IFERROR(__xludf.dummyfunction("""COMPUTED_VALUE"""),93405)</f>
        <v>93405</v>
      </c>
      <c r="C51" s="1" t="str">
        <f aca="false">IFERROR(__xludf.dummyfunction("""COMPUTED_VALUE"""),"Servicios Básicos")</f>
        <v>Servicios Básicos</v>
      </c>
      <c r="D51" s="1" t="str">
        <f aca="false">IFERROR(__xludf.dummyfunction("""COMPUTED_VALUE"""),"Servicios Básicos")</f>
        <v>Servicios Básicos</v>
      </c>
      <c r="E51" s="1" t="str">
        <f aca="false">IFERROR(__xludf.dummyfunction("""COMPUTED_VALUE"""),"Octubre")</f>
        <v>Octubre</v>
      </c>
      <c r="F51" s="1" t="n">
        <f aca="false">IFERROR(__xludf.dummyfunction("""COMPUTED_VALUE"""),2023)</f>
        <v>2023</v>
      </c>
    </row>
    <row r="52" customFormat="false" ht="15.75" hidden="false" customHeight="false" outlineLevel="0" collapsed="false">
      <c r="A52" s="2" t="str">
        <f aca="false">IFERROR(__xludf.dummyfunction("""COMPUTED_VALUE"""),"31/10/2023")</f>
        <v>31/10/2023</v>
      </c>
      <c r="B52" s="2" t="n">
        <f aca="false">IFERROR(__xludf.dummyfunction("""COMPUTED_VALUE"""),261400)</f>
        <v>261400</v>
      </c>
      <c r="C52" s="1" t="str">
        <f aca="false">IFERROR(__xludf.dummyfunction("""COMPUTED_VALUE"""),"Mantenimientos")</f>
        <v>Mantenimientos</v>
      </c>
      <c r="D52" s="1" t="str">
        <f aca="false">IFERROR(__xludf.dummyfunction("""COMPUTED_VALUE"""),"Sin Especificar")</f>
        <v>Sin Especificar</v>
      </c>
      <c r="E52" s="1" t="str">
        <f aca="false">IFERROR(__xludf.dummyfunction("""COMPUTED_VALUE"""),"Octubre")</f>
        <v>Octubre</v>
      </c>
      <c r="F52" s="1" t="n">
        <f aca="false">IFERROR(__xludf.dummyfunction("""COMPUTED_VALUE"""),2023)</f>
        <v>2023</v>
      </c>
    </row>
    <row r="53" customFormat="false" ht="15.75" hidden="false" customHeight="false" outlineLevel="0" collapsed="false">
      <c r="A53" s="2" t="str">
        <f aca="false">IFERROR(__xludf.dummyfunction("""COMPUTED_VALUE"""),"31/10/2023")</f>
        <v>31/10/2023</v>
      </c>
      <c r="B53" s="2" t="n">
        <f aca="false">IFERROR(__xludf.dummyfunction("""COMPUTED_VALUE"""),500000)</f>
        <v>500000</v>
      </c>
      <c r="C53" s="1" t="str">
        <f aca="false">IFERROR(__xludf.dummyfunction("""COMPUTED_VALUE"""),"Pago Administración")</f>
        <v>Pago Administración</v>
      </c>
      <c r="D53" s="1" t="str">
        <f aca="false">IFERROR(__xludf.dummyfunction("""COMPUTED_VALUE"""),"Remuneraciones")</f>
        <v>Remuneraciones</v>
      </c>
      <c r="E53" s="1" t="str">
        <f aca="false">IFERROR(__xludf.dummyfunction("""COMPUTED_VALUE"""),"Octubre")</f>
        <v>Octubre</v>
      </c>
      <c r="F53" s="1" t="n">
        <f aca="false">IFERROR(__xludf.dummyfunction("""COMPUTED_VALUE"""),2023)</f>
        <v>2023</v>
      </c>
    </row>
    <row r="54" customFormat="false" ht="15.75" hidden="false" customHeight="false" outlineLevel="0" collapsed="false">
      <c r="A54" s="2" t="str">
        <f aca="false">IFERROR(__xludf.dummyfunction("""COMPUTED_VALUE"""),"31/10/2023")</f>
        <v>31/10/2023</v>
      </c>
      <c r="B54" s="2" t="n">
        <f aca="false">IFERROR(__xludf.dummyfunction("""COMPUTED_VALUE"""),276158)</f>
        <v>276158</v>
      </c>
      <c r="C54" s="1" t="str">
        <f aca="false">IFERROR(__xludf.dummyfunction("""COMPUTED_VALUE"""),"Cotizaciones Previsionales")</f>
        <v>Cotizaciones Previsionales</v>
      </c>
      <c r="D54" s="1" t="str">
        <f aca="false">IFERROR(__xludf.dummyfunction("""COMPUTED_VALUE"""),"Remuneraciones")</f>
        <v>Remuneraciones</v>
      </c>
      <c r="E54" s="1" t="str">
        <f aca="false">IFERROR(__xludf.dummyfunction("""COMPUTED_VALUE"""),"Octubre")</f>
        <v>Octubre</v>
      </c>
      <c r="F54" s="1" t="n">
        <f aca="false">IFERROR(__xludf.dummyfunction("""COMPUTED_VALUE"""),2023)</f>
        <v>2023</v>
      </c>
    </row>
    <row r="55" customFormat="false" ht="15.75" hidden="false" customHeight="false" outlineLevel="0" collapsed="false">
      <c r="A55" s="2" t="str">
        <f aca="false">IFERROR(__xludf.dummyfunction("""COMPUTED_VALUE"""),"31/10/2023")</f>
        <v>31/10/2023</v>
      </c>
      <c r="B55" s="2" t="n">
        <f aca="false">IFERROR(__xludf.dummyfunction("""COMPUTED_VALUE"""),229900)</f>
        <v>229900</v>
      </c>
      <c r="C55" s="1" t="str">
        <f aca="false">IFERROR(__xludf.dummyfunction("""COMPUTED_VALUE"""),"Anticipos")</f>
        <v>Anticipos</v>
      </c>
      <c r="D55" s="1" t="str">
        <f aca="false">IFERROR(__xludf.dummyfunction("""COMPUTED_VALUE"""),"Remuneraciones")</f>
        <v>Remuneraciones</v>
      </c>
      <c r="E55" s="1" t="str">
        <f aca="false">IFERROR(__xludf.dummyfunction("""COMPUTED_VALUE"""),"Octubre")</f>
        <v>Octubre</v>
      </c>
      <c r="F55" s="1" t="n">
        <f aca="false">IFERROR(__xludf.dummyfunction("""COMPUTED_VALUE"""),2023)</f>
        <v>2023</v>
      </c>
    </row>
    <row r="56" customFormat="false" ht="15.75" hidden="false" customHeight="false" outlineLevel="0" collapsed="false">
      <c r="A56" s="2" t="str">
        <f aca="false">IFERROR(__xludf.dummyfunction("""COMPUTED_VALUE"""),"31/10/2023")</f>
        <v>31/10/2023</v>
      </c>
      <c r="B56" s="2" t="n">
        <f aca="false">IFERROR(__xludf.dummyfunction("""COMPUTED_VALUE"""),73780)</f>
        <v>73780</v>
      </c>
      <c r="C56" s="1" t="str">
        <f aca="false">IFERROR(__xludf.dummyfunction("""COMPUTED_VALUE"""),"Mantenimiento Hidropack")</f>
        <v>Mantenimiento Hidropack</v>
      </c>
      <c r="D56" s="1" t="str">
        <f aca="false">IFERROR(__xludf.dummyfunction("""COMPUTED_VALUE"""),"Mantenimientos")</f>
        <v>Mantenimientos</v>
      </c>
      <c r="E56" s="1" t="str">
        <f aca="false">IFERROR(__xludf.dummyfunction("""COMPUTED_VALUE"""),"Octubre")</f>
        <v>Octubre</v>
      </c>
      <c r="F56" s="1" t="n">
        <f aca="false">IFERROR(__xludf.dummyfunction("""COMPUTED_VALUE"""),2023)</f>
        <v>2023</v>
      </c>
    </row>
    <row r="57" customFormat="false" ht="15.75" hidden="false" customHeight="false" outlineLevel="0" collapsed="false">
      <c r="A57" s="2" t="str">
        <f aca="false">IFERROR(__xludf.dummyfunction("""COMPUTED_VALUE"""),"31/10/2023")</f>
        <v>31/10/2023</v>
      </c>
      <c r="B57" s="2" t="n">
        <f aca="false">IFERROR(__xludf.dummyfunction("""COMPUTED_VALUE"""),2690984)</f>
        <v>2690984</v>
      </c>
      <c r="C57" s="1" t="str">
        <f aca="false">IFERROR(__xludf.dummyfunction("""COMPUTED_VALUE"""),"Sueldos")</f>
        <v>Sueldos</v>
      </c>
      <c r="D57" s="1" t="str">
        <f aca="false">IFERROR(__xludf.dummyfunction("""COMPUTED_VALUE"""),"Remuneraciones")</f>
        <v>Remuneraciones</v>
      </c>
      <c r="E57" s="1" t="str">
        <f aca="false">IFERROR(__xludf.dummyfunction("""COMPUTED_VALUE"""),"Octubre")</f>
        <v>Octubre</v>
      </c>
      <c r="F57" s="1" t="n">
        <f aca="false">IFERROR(__xludf.dummyfunction("""COMPUTED_VALUE"""),2023)</f>
        <v>2023</v>
      </c>
    </row>
    <row r="58" customFormat="false" ht="15.75" hidden="false" customHeight="false" outlineLevel="0" collapsed="false">
      <c r="A58" s="2" t="str">
        <f aca="false">IFERROR(__xludf.dummyfunction("""COMPUTED_VALUE"""),"30/11/2023")</f>
        <v>30/11/2023</v>
      </c>
      <c r="B58" s="2" t="n">
        <f aca="false">IFERROR(__xludf.dummyfunction("""COMPUTED_VALUE"""),133850)</f>
        <v>133850</v>
      </c>
      <c r="C58" s="1" t="str">
        <f aca="false">IFERROR(__xludf.dummyfunction("""COMPUTED_VALUE"""),"Útiles de Aseo")</f>
        <v>Útiles de Aseo</v>
      </c>
      <c r="D58" s="1" t="str">
        <f aca="false">IFERROR(__xludf.dummyfunction("""COMPUTED_VALUE"""),"Útiles de Aseo")</f>
        <v>Útiles de Aseo</v>
      </c>
      <c r="E58" s="1" t="str">
        <f aca="false">IFERROR(__xludf.dummyfunction("""COMPUTED_VALUE"""),"Noviembre")</f>
        <v>Noviembre</v>
      </c>
      <c r="F58" s="1" t="n">
        <f aca="false">IFERROR(__xludf.dummyfunction("""COMPUTED_VALUE"""),2023)</f>
        <v>2023</v>
      </c>
    </row>
    <row r="59" customFormat="false" ht="15.75" hidden="false" customHeight="false" outlineLevel="0" collapsed="false">
      <c r="A59" s="2" t="str">
        <f aca="false">IFERROR(__xludf.dummyfunction("""COMPUTED_VALUE"""),"30/11/2023")</f>
        <v>30/11/2023</v>
      </c>
      <c r="B59" s="2" t="n">
        <f aca="false">IFERROR(__xludf.dummyfunction("""COMPUTED_VALUE"""),15990)</f>
        <v>15990</v>
      </c>
      <c r="C59" s="1" t="str">
        <f aca="false">IFERROR(__xludf.dummyfunction("""COMPUTED_VALUE"""),"Servicios Básicos")</f>
        <v>Servicios Básicos</v>
      </c>
      <c r="D59" s="1" t="str">
        <f aca="false">IFERROR(__xludf.dummyfunction("""COMPUTED_VALUE"""),"Servicios Básicos")</f>
        <v>Servicios Básicos</v>
      </c>
      <c r="E59" s="1" t="str">
        <f aca="false">IFERROR(__xludf.dummyfunction("""COMPUTED_VALUE"""),"Noviembre")</f>
        <v>Noviembre</v>
      </c>
      <c r="F59" s="1" t="n">
        <f aca="false">IFERROR(__xludf.dummyfunction("""COMPUTED_VALUE"""),2023)</f>
        <v>2023</v>
      </c>
    </row>
    <row r="60" customFormat="false" ht="15.75" hidden="false" customHeight="false" outlineLevel="0" collapsed="false">
      <c r="A60" s="2" t="str">
        <f aca="false">IFERROR(__xludf.dummyfunction("""COMPUTED_VALUE"""),"30/11/2023")</f>
        <v>30/11/2023</v>
      </c>
      <c r="B60" s="2" t="n">
        <f aca="false">IFERROR(__xludf.dummyfunction("""COMPUTED_VALUE"""),250000)</f>
        <v>250000</v>
      </c>
      <c r="C60" s="1" t="str">
        <f aca="false">IFERROR(__xludf.dummyfunction("""COMPUTED_VALUE"""),"Pago Administración ")</f>
        <v>Pago Administración </v>
      </c>
      <c r="D60" s="1" t="str">
        <f aca="false">IFERROR(__xludf.dummyfunction("""COMPUTED_VALUE"""),"Remuneraciones")</f>
        <v>Remuneraciones</v>
      </c>
      <c r="E60" s="1" t="str">
        <f aca="false">IFERROR(__xludf.dummyfunction("""COMPUTED_VALUE"""),"Noviembre")</f>
        <v>Noviembre</v>
      </c>
      <c r="F60" s="1" t="n">
        <f aca="false">IFERROR(__xludf.dummyfunction("""COMPUTED_VALUE"""),2023)</f>
        <v>2023</v>
      </c>
    </row>
    <row r="61" customFormat="false" ht="15.75" hidden="false" customHeight="false" outlineLevel="0" collapsed="false">
      <c r="A61" s="2" t="str">
        <f aca="false">IFERROR(__xludf.dummyfunction("""COMPUTED_VALUE"""),"30/11/2023")</f>
        <v>30/11/2023</v>
      </c>
      <c r="B61" s="2" t="n">
        <f aca="false">IFERROR(__xludf.dummyfunction("""COMPUTED_VALUE"""),30000)</f>
        <v>30000</v>
      </c>
      <c r="C61" s="1" t="str">
        <f aca="false">IFERROR(__xludf.dummyfunction("""COMPUTED_VALUE"""),"Notaria")</f>
        <v>Notaria</v>
      </c>
      <c r="D61" s="1" t="str">
        <f aca="false">IFERROR(__xludf.dummyfunction("""COMPUTED_VALUE"""),"Trámites")</f>
        <v>Trámites</v>
      </c>
      <c r="E61" s="1" t="str">
        <f aca="false">IFERROR(__xludf.dummyfunction("""COMPUTED_VALUE"""),"Noviembre")</f>
        <v>Noviembre</v>
      </c>
      <c r="F61" s="1" t="n">
        <f aca="false">IFERROR(__xludf.dummyfunction("""COMPUTED_VALUE"""),2023)</f>
        <v>2023</v>
      </c>
    </row>
    <row r="62" customFormat="false" ht="15.75" hidden="false" customHeight="false" outlineLevel="0" collapsed="false">
      <c r="A62" s="2" t="str">
        <f aca="false">IFERROR(__xludf.dummyfunction("""COMPUTED_VALUE"""),"30/11/2023")</f>
        <v>30/11/2023</v>
      </c>
      <c r="B62" s="2" t="n">
        <f aca="false">IFERROR(__xludf.dummyfunction("""COMPUTED_VALUE"""),251726)</f>
        <v>251726</v>
      </c>
      <c r="C62" s="1" t="str">
        <f aca="false">IFERROR(__xludf.dummyfunction("""COMPUTED_VALUE"""),"Cotizaciones Previsionales")</f>
        <v>Cotizaciones Previsionales</v>
      </c>
      <c r="D62" s="1" t="str">
        <f aca="false">IFERROR(__xludf.dummyfunction("""COMPUTED_VALUE"""),"Imposiciones")</f>
        <v>Imposiciones</v>
      </c>
      <c r="E62" s="1" t="str">
        <f aca="false">IFERROR(__xludf.dummyfunction("""COMPUTED_VALUE"""),"Noviembre")</f>
        <v>Noviembre</v>
      </c>
      <c r="F62" s="1" t="n">
        <f aca="false">IFERROR(__xludf.dummyfunction("""COMPUTED_VALUE"""),2023)</f>
        <v>2023</v>
      </c>
    </row>
    <row r="63" customFormat="false" ht="15.75" hidden="false" customHeight="false" outlineLevel="0" collapsed="false">
      <c r="A63" s="2" t="str">
        <f aca="false">IFERROR(__xludf.dummyfunction("""COMPUTED_VALUE"""),"30/11/2023")</f>
        <v>30/11/2023</v>
      </c>
      <c r="B63" s="2" t="n">
        <f aca="false">IFERROR(__xludf.dummyfunction("""COMPUTED_VALUE"""),299900)</f>
        <v>299900</v>
      </c>
      <c r="C63" s="1" t="str">
        <f aca="false">IFERROR(__xludf.dummyfunction("""COMPUTED_VALUE"""),"Anticipos")</f>
        <v>Anticipos</v>
      </c>
      <c r="D63" s="1" t="str">
        <f aca="false">IFERROR(__xludf.dummyfunction("""COMPUTED_VALUE"""),"Remuneraciones")</f>
        <v>Remuneraciones</v>
      </c>
      <c r="E63" s="1" t="str">
        <f aca="false">IFERROR(__xludf.dummyfunction("""COMPUTED_VALUE"""),"Noviembre")</f>
        <v>Noviembre</v>
      </c>
      <c r="F63" s="1" t="n">
        <f aca="false">IFERROR(__xludf.dummyfunction("""COMPUTED_VALUE"""),2023)</f>
        <v>2023</v>
      </c>
    </row>
    <row r="64" customFormat="false" ht="15.75" hidden="false" customHeight="false" outlineLevel="0" collapsed="false">
      <c r="A64" s="2" t="str">
        <f aca="false">IFERROR(__xludf.dummyfunction("""COMPUTED_VALUE"""),"30/11/2023")</f>
        <v>30/11/2023</v>
      </c>
      <c r="B64" s="2" t="n">
        <f aca="false">IFERROR(__xludf.dummyfunction("""COMPUTED_VALUE"""),73780)</f>
        <v>73780</v>
      </c>
      <c r="C64" s="1" t="str">
        <f aca="false">IFERROR(__xludf.dummyfunction("""COMPUTED_VALUE"""),"Mantenimientos")</f>
        <v>Mantenimientos</v>
      </c>
      <c r="D64" s="1" t="str">
        <f aca="false">IFERROR(__xludf.dummyfunction("""COMPUTED_VALUE"""),"HidroPack")</f>
        <v>HidroPack</v>
      </c>
      <c r="E64" s="1" t="str">
        <f aca="false">IFERROR(__xludf.dummyfunction("""COMPUTED_VALUE"""),"Noviembre")</f>
        <v>Noviembre</v>
      </c>
      <c r="F64" s="1" t="n">
        <f aca="false">IFERROR(__xludf.dummyfunction("""COMPUTED_VALUE"""),2023)</f>
        <v>2023</v>
      </c>
    </row>
    <row r="65" customFormat="false" ht="15.75" hidden="false" customHeight="false" outlineLevel="0" collapsed="false">
      <c r="A65" s="2" t="str">
        <f aca="false">IFERROR(__xludf.dummyfunction("""COMPUTED_VALUE"""),"30/11/2023")</f>
        <v>30/11/2023</v>
      </c>
      <c r="B65" s="2" t="n">
        <f aca="false">IFERROR(__xludf.dummyfunction("""COMPUTED_VALUE"""),1056038)</f>
        <v>1056038</v>
      </c>
      <c r="C65" s="1" t="str">
        <f aca="false">IFERROR(__xludf.dummyfunction("""COMPUTED_VALUE"""),"Sueldos")</f>
        <v>Sueldos</v>
      </c>
      <c r="D65" s="1" t="str">
        <f aca="false">IFERROR(__xludf.dummyfunction("""COMPUTED_VALUE"""),"Remuneraciones")</f>
        <v>Remuneraciones</v>
      </c>
      <c r="E65" s="1" t="str">
        <f aca="false">IFERROR(__xludf.dummyfunction("""COMPUTED_VALUE"""),"Noviembre")</f>
        <v>Noviembre</v>
      </c>
      <c r="F65" s="1" t="n">
        <f aca="false">IFERROR(__xludf.dummyfunction("""COMPUTED_VALUE"""),2023)</f>
        <v>2023</v>
      </c>
    </row>
    <row r="66" customFormat="false" ht="15.75" hidden="false" customHeight="false" outlineLevel="0" collapsed="false">
      <c r="A66" s="2" t="str">
        <f aca="false">IFERROR(__xludf.dummyfunction("""COMPUTED_VALUE"""),"31/12/2023")</f>
        <v>31/12/2023</v>
      </c>
      <c r="B66" s="2" t="n">
        <f aca="false">IFERROR(__xludf.dummyfunction("""COMPUTED_VALUE"""),97750)</f>
        <v>97750</v>
      </c>
      <c r="C66" s="1" t="str">
        <f aca="false">IFERROR(__xludf.dummyfunction("""COMPUTED_VALUE"""),"Útiles de Aseo")</f>
        <v>Útiles de Aseo</v>
      </c>
      <c r="D66" s="1" t="str">
        <f aca="false">IFERROR(__xludf.dummyfunction("""COMPUTED_VALUE"""),"Útiles de Aseo")</f>
        <v>Útiles de Aseo</v>
      </c>
      <c r="E66" s="1" t="str">
        <f aca="false">IFERROR(__xludf.dummyfunction("""COMPUTED_VALUE"""),"Diciembre")</f>
        <v>Diciembre</v>
      </c>
      <c r="F66" s="1" t="n">
        <f aca="false">IFERROR(__xludf.dummyfunction("""COMPUTED_VALUE"""),2023)</f>
        <v>2023</v>
      </c>
    </row>
    <row r="67" customFormat="false" ht="15.75" hidden="false" customHeight="false" outlineLevel="0" collapsed="false">
      <c r="A67" s="2" t="str">
        <f aca="false">IFERROR(__xludf.dummyfunction("""COMPUTED_VALUE"""),"31/12/2023")</f>
        <v>31/12/2023</v>
      </c>
      <c r="B67" s="2" t="n">
        <f aca="false">IFERROR(__xludf.dummyfunction("""COMPUTED_VALUE"""),173390)</f>
        <v>173390</v>
      </c>
      <c r="C67" s="1" t="str">
        <f aca="false">IFERROR(__xludf.dummyfunction("""COMPUTED_VALUE"""),"Servicios Básicos")</f>
        <v>Servicios Básicos</v>
      </c>
      <c r="D67" s="1" t="str">
        <f aca="false">IFERROR(__xludf.dummyfunction("""COMPUTED_VALUE"""),"Servicios Básicos")</f>
        <v>Servicios Básicos</v>
      </c>
      <c r="E67" s="1" t="str">
        <f aca="false">IFERROR(__xludf.dummyfunction("""COMPUTED_VALUE"""),"Diciembre")</f>
        <v>Diciembre</v>
      </c>
      <c r="F67" s="1" t="n">
        <f aca="false">IFERROR(__xludf.dummyfunction("""COMPUTED_VALUE"""),2023)</f>
        <v>2023</v>
      </c>
    </row>
    <row r="68" customFormat="false" ht="15.75" hidden="false" customHeight="false" outlineLevel="0" collapsed="false">
      <c r="A68" s="2" t="str">
        <f aca="false">IFERROR(__xludf.dummyfunction("""COMPUTED_VALUE"""),"31/12/2023")</f>
        <v>31/12/2023</v>
      </c>
      <c r="B68" s="2" t="n">
        <f aca="false">IFERROR(__xludf.dummyfunction("""COMPUTED_VALUE"""),250000)</f>
        <v>250000</v>
      </c>
      <c r="C68" s="1" t="str">
        <f aca="false">IFERROR(__xludf.dummyfunction("""COMPUTED_VALUE"""),"Pago Administración ")</f>
        <v>Pago Administración </v>
      </c>
      <c r="D68" s="1" t="str">
        <f aca="false">IFERROR(__xludf.dummyfunction("""COMPUTED_VALUE"""),"Remuneraciones")</f>
        <v>Remuneraciones</v>
      </c>
      <c r="E68" s="1" t="str">
        <f aca="false">IFERROR(__xludf.dummyfunction("""COMPUTED_VALUE"""),"Diciembre")</f>
        <v>Diciembre</v>
      </c>
      <c r="F68" s="1" t="n">
        <f aca="false">IFERROR(__xludf.dummyfunction("""COMPUTED_VALUE"""),2023)</f>
        <v>2023</v>
      </c>
    </row>
    <row r="69" customFormat="false" ht="15.75" hidden="false" customHeight="false" outlineLevel="0" collapsed="false">
      <c r="A69" s="2" t="str">
        <f aca="false">IFERROR(__xludf.dummyfunction("""COMPUTED_VALUE"""),"31/12/2023")</f>
        <v>31/12/2023</v>
      </c>
      <c r="B69" s="2" t="n">
        <f aca="false">IFERROR(__xludf.dummyfunction("""COMPUTED_VALUE"""),160000)</f>
        <v>160000</v>
      </c>
      <c r="C69" s="1" t="str">
        <f aca="false">IFERROR(__xludf.dummyfunction("""COMPUTED_VALUE"""),"Aguinaldos")</f>
        <v>Aguinaldos</v>
      </c>
      <c r="D69" s="1" t="str">
        <f aca="false">IFERROR(__xludf.dummyfunction("""COMPUTED_VALUE"""),"Aguinaldos")</f>
        <v>Aguinaldos</v>
      </c>
      <c r="E69" s="1" t="str">
        <f aca="false">IFERROR(__xludf.dummyfunction("""COMPUTED_VALUE"""),"Diciembre")</f>
        <v>Diciembre</v>
      </c>
      <c r="F69" s="1" t="n">
        <f aca="false">IFERROR(__xludf.dummyfunction("""COMPUTED_VALUE"""),2023)</f>
        <v>2023</v>
      </c>
    </row>
    <row r="70" customFormat="false" ht="15.75" hidden="false" customHeight="false" outlineLevel="0" collapsed="false">
      <c r="A70" s="2" t="str">
        <f aca="false">IFERROR(__xludf.dummyfunction("""COMPUTED_VALUE"""),"31/12/2023")</f>
        <v>31/12/2023</v>
      </c>
      <c r="B70" s="2" t="n">
        <f aca="false">IFERROR(__xludf.dummyfunction("""COMPUTED_VALUE"""),344253)</f>
        <v>344253</v>
      </c>
      <c r="C70" s="1" t="str">
        <f aca="false">IFERROR(__xludf.dummyfunction("""COMPUTED_VALUE"""),"Cotizaciones Previsionales")</f>
        <v>Cotizaciones Previsionales</v>
      </c>
      <c r="D70" s="1" t="str">
        <f aca="false">IFERROR(__xludf.dummyfunction("""COMPUTED_VALUE"""),"Imposiciones")</f>
        <v>Imposiciones</v>
      </c>
      <c r="E70" s="1" t="str">
        <f aca="false">IFERROR(__xludf.dummyfunction("""COMPUTED_VALUE"""),"Diciembre")</f>
        <v>Diciembre</v>
      </c>
      <c r="F70" s="1" t="n">
        <f aca="false">IFERROR(__xludf.dummyfunction("""COMPUTED_VALUE"""),2023)</f>
        <v>2023</v>
      </c>
    </row>
    <row r="71" customFormat="false" ht="15.75" hidden="false" customHeight="false" outlineLevel="0" collapsed="false">
      <c r="A71" s="2" t="str">
        <f aca="false">IFERROR(__xludf.dummyfunction("""COMPUTED_VALUE"""),"31/12/2023")</f>
        <v>31/12/2023</v>
      </c>
      <c r="B71" s="2" t="n">
        <f aca="false">IFERROR(__xludf.dummyfunction("""COMPUTED_VALUE"""),294900)</f>
        <v>294900</v>
      </c>
      <c r="C71" s="1" t="str">
        <f aca="false">IFERROR(__xludf.dummyfunction("""COMPUTED_VALUE"""),"Anticipos")</f>
        <v>Anticipos</v>
      </c>
      <c r="D71" s="1" t="str">
        <f aca="false">IFERROR(__xludf.dummyfunction("""COMPUTED_VALUE"""),"Remuneraciones")</f>
        <v>Remuneraciones</v>
      </c>
      <c r="E71" s="1" t="str">
        <f aca="false">IFERROR(__xludf.dummyfunction("""COMPUTED_VALUE"""),"Diciembre")</f>
        <v>Diciembre</v>
      </c>
      <c r="F71" s="1" t="n">
        <f aca="false">IFERROR(__xludf.dummyfunction("""COMPUTED_VALUE"""),2023)</f>
        <v>2023</v>
      </c>
    </row>
    <row r="72" customFormat="false" ht="15.75" hidden="false" customHeight="false" outlineLevel="0" collapsed="false">
      <c r="A72" s="2" t="str">
        <f aca="false">IFERROR(__xludf.dummyfunction("""COMPUTED_VALUE"""),"31/12/2023")</f>
        <v>31/12/2023</v>
      </c>
      <c r="B72" s="2" t="n">
        <f aca="false">IFERROR(__xludf.dummyfunction("""COMPUTED_VALUE"""),73780)</f>
        <v>73780</v>
      </c>
      <c r="C72" s="1" t="str">
        <f aca="false">IFERROR(__xludf.dummyfunction("""COMPUTED_VALUE"""),"Mantenimientos")</f>
        <v>Mantenimientos</v>
      </c>
      <c r="D72" s="1" t="str">
        <f aca="false">IFERROR(__xludf.dummyfunction("""COMPUTED_VALUE"""),"HidroPack")</f>
        <v>HidroPack</v>
      </c>
      <c r="E72" s="1" t="str">
        <f aca="false">IFERROR(__xludf.dummyfunction("""COMPUTED_VALUE"""),"Diciembre")</f>
        <v>Diciembre</v>
      </c>
      <c r="F72" s="1" t="n">
        <f aca="false">IFERROR(__xludf.dummyfunction("""COMPUTED_VALUE"""),2023)</f>
        <v>2023</v>
      </c>
    </row>
    <row r="73" customFormat="false" ht="15.75" hidden="false" customHeight="false" outlineLevel="0" collapsed="false">
      <c r="A73" s="2" t="str">
        <f aca="false">IFERROR(__xludf.dummyfunction("""COMPUTED_VALUE"""),"31/12/2023")</f>
        <v>31/12/2023</v>
      </c>
      <c r="B73" s="2" t="n">
        <f aca="false">IFERROR(__xludf.dummyfunction("""COMPUTED_VALUE"""),1083055)</f>
        <v>1083055</v>
      </c>
      <c r="C73" s="1" t="str">
        <f aca="false">IFERROR(__xludf.dummyfunction("""COMPUTED_VALUE"""),"Sueldos")</f>
        <v>Sueldos</v>
      </c>
      <c r="D73" s="1" t="str">
        <f aca="false">IFERROR(__xludf.dummyfunction("""COMPUTED_VALUE"""),"Remuneraciones")</f>
        <v>Remuneraciones</v>
      </c>
      <c r="E73" s="1" t="str">
        <f aca="false">IFERROR(__xludf.dummyfunction("""COMPUTED_VALUE"""),"Diciembre")</f>
        <v>Diciembre</v>
      </c>
      <c r="F73" s="1" t="n">
        <f aca="false">IFERROR(__xludf.dummyfunction("""COMPUTED_VALUE"""),2023)</f>
        <v>2023</v>
      </c>
    </row>
    <row r="74" customFormat="false" ht="15.75" hidden="false" customHeight="false" outlineLevel="0" collapsed="false">
      <c r="A74" s="2" t="str">
        <f aca="false">IFERROR(__xludf.dummyfunction("""COMPUTED_VALUE"""),"31/01/2024")</f>
        <v>31/01/2024</v>
      </c>
      <c r="B74" s="2" t="n">
        <f aca="false">IFERROR(__xludf.dummyfunction("""COMPUTED_VALUE"""),37080)</f>
        <v>37080</v>
      </c>
      <c r="C74" s="1" t="str">
        <f aca="false">IFERROR(__xludf.dummyfunction("""COMPUTED_VALUE"""),"Útiles de Aseo")</f>
        <v>Útiles de Aseo</v>
      </c>
      <c r="D74" s="1" t="str">
        <f aca="false">IFERROR(__xludf.dummyfunction("""COMPUTED_VALUE"""),"Útiles de Aseo")</f>
        <v>Útiles de Aseo</v>
      </c>
      <c r="E74" s="1" t="str">
        <f aca="false">IFERROR(__xludf.dummyfunction("""COMPUTED_VALUE"""),"Enero")</f>
        <v>Enero</v>
      </c>
      <c r="F74" s="1" t="n">
        <f aca="false">IFERROR(__xludf.dummyfunction("""COMPUTED_VALUE"""),2024)</f>
        <v>2024</v>
      </c>
    </row>
    <row r="75" customFormat="false" ht="15.75" hidden="false" customHeight="false" outlineLevel="0" collapsed="false">
      <c r="A75" s="2" t="str">
        <f aca="false">IFERROR(__xludf.dummyfunction("""COMPUTED_VALUE"""),"31/01/2024")</f>
        <v>31/01/2024</v>
      </c>
      <c r="B75" s="2" t="n">
        <f aca="false">IFERROR(__xludf.dummyfunction("""COMPUTED_VALUE"""),98681)</f>
        <v>98681</v>
      </c>
      <c r="C75" s="1" t="str">
        <f aca="false">IFERROR(__xludf.dummyfunction("""COMPUTED_VALUE"""),"Servicios Básicos")</f>
        <v>Servicios Básicos</v>
      </c>
      <c r="D75" s="1" t="str">
        <f aca="false">IFERROR(__xludf.dummyfunction("""COMPUTED_VALUE"""),"Servicios Básicos")</f>
        <v>Servicios Básicos</v>
      </c>
      <c r="E75" s="1" t="str">
        <f aca="false">IFERROR(__xludf.dummyfunction("""COMPUTED_VALUE"""),"Enero")</f>
        <v>Enero</v>
      </c>
      <c r="F75" s="1" t="n">
        <f aca="false">IFERROR(__xludf.dummyfunction("""COMPUTED_VALUE"""),2024)</f>
        <v>2024</v>
      </c>
    </row>
    <row r="76" customFormat="false" ht="15.75" hidden="false" customHeight="false" outlineLevel="0" collapsed="false">
      <c r="A76" s="2" t="str">
        <f aca="false">IFERROR(__xludf.dummyfunction("""COMPUTED_VALUE"""),"31/01/2024")</f>
        <v>31/01/2024</v>
      </c>
      <c r="B76" s="2" t="n">
        <f aca="false">IFERROR(__xludf.dummyfunction("""COMPUTED_VALUE"""),250000)</f>
        <v>250000</v>
      </c>
      <c r="C76" s="1" t="str">
        <f aca="false">IFERROR(__xludf.dummyfunction("""COMPUTED_VALUE"""),"Pago Administración ")</f>
        <v>Pago Administración </v>
      </c>
      <c r="D76" s="1" t="str">
        <f aca="false">IFERROR(__xludf.dummyfunction("""COMPUTED_VALUE"""),"Remuneraciones")</f>
        <v>Remuneraciones</v>
      </c>
      <c r="E76" s="1" t="str">
        <f aca="false">IFERROR(__xludf.dummyfunction("""COMPUTED_VALUE"""),"Enero")</f>
        <v>Enero</v>
      </c>
      <c r="F76" s="1" t="n">
        <f aca="false">IFERROR(__xludf.dummyfunction("""COMPUTED_VALUE"""),2024)</f>
        <v>2024</v>
      </c>
    </row>
    <row r="77" customFormat="false" ht="15.75" hidden="false" customHeight="false" outlineLevel="0" collapsed="false">
      <c r="A77" s="2" t="str">
        <f aca="false">IFERROR(__xludf.dummyfunction("""COMPUTED_VALUE"""),"31/01/2024")</f>
        <v>31/01/2024</v>
      </c>
      <c r="B77" s="2" t="n">
        <f aca="false">IFERROR(__xludf.dummyfunction("""COMPUTED_VALUE"""),0)</f>
        <v>0</v>
      </c>
      <c r="C77" s="1" t="str">
        <f aca="false">IFERROR(__xludf.dummyfunction("""COMPUTED_VALUE"""),"Aguinaldos")</f>
        <v>Aguinaldos</v>
      </c>
      <c r="D77" s="1" t="str">
        <f aca="false">IFERROR(__xludf.dummyfunction("""COMPUTED_VALUE"""),"Aguinaldos")</f>
        <v>Aguinaldos</v>
      </c>
      <c r="E77" s="1" t="str">
        <f aca="false">IFERROR(__xludf.dummyfunction("""COMPUTED_VALUE"""),"Enero")</f>
        <v>Enero</v>
      </c>
      <c r="F77" s="1" t="n">
        <f aca="false">IFERROR(__xludf.dummyfunction("""COMPUTED_VALUE"""),2024)</f>
        <v>2024</v>
      </c>
    </row>
    <row r="78" customFormat="false" ht="15.75" hidden="false" customHeight="false" outlineLevel="0" collapsed="false">
      <c r="A78" s="2" t="str">
        <f aca="false">IFERROR(__xludf.dummyfunction("""COMPUTED_VALUE"""),"31/01/2024")</f>
        <v>31/01/2024</v>
      </c>
      <c r="B78" s="2" t="n">
        <f aca="false">IFERROR(__xludf.dummyfunction("""COMPUTED_VALUE"""),423639)</f>
        <v>423639</v>
      </c>
      <c r="C78" s="1" t="str">
        <f aca="false">IFERROR(__xludf.dummyfunction("""COMPUTED_VALUE"""),"Cotizaciones Previsionales")</f>
        <v>Cotizaciones Previsionales</v>
      </c>
      <c r="D78" s="1" t="str">
        <f aca="false">IFERROR(__xludf.dummyfunction("""COMPUTED_VALUE"""),"Imposiciones")</f>
        <v>Imposiciones</v>
      </c>
      <c r="E78" s="1" t="str">
        <f aca="false">IFERROR(__xludf.dummyfunction("""COMPUTED_VALUE"""),"Enero")</f>
        <v>Enero</v>
      </c>
      <c r="F78" s="1" t="n">
        <f aca="false">IFERROR(__xludf.dummyfunction("""COMPUTED_VALUE"""),2024)</f>
        <v>2024</v>
      </c>
    </row>
    <row r="79" customFormat="false" ht="15.75" hidden="false" customHeight="false" outlineLevel="0" collapsed="false">
      <c r="A79" s="2" t="str">
        <f aca="false">IFERROR(__xludf.dummyfunction("""COMPUTED_VALUE"""),"31/01/2024")</f>
        <v>31/01/2024</v>
      </c>
      <c r="B79" s="2" t="n">
        <f aca="false">IFERROR(__xludf.dummyfunction("""COMPUTED_VALUE"""),140000)</f>
        <v>140000</v>
      </c>
      <c r="C79" s="1" t="str">
        <f aca="false">IFERROR(__xludf.dummyfunction("""COMPUTED_VALUE"""),"Anticipos")</f>
        <v>Anticipos</v>
      </c>
      <c r="D79" s="1" t="str">
        <f aca="false">IFERROR(__xludf.dummyfunction("""COMPUTED_VALUE"""),"Remuneraciones")</f>
        <v>Remuneraciones</v>
      </c>
      <c r="E79" s="1" t="str">
        <f aca="false">IFERROR(__xludf.dummyfunction("""COMPUTED_VALUE"""),"Enero")</f>
        <v>Enero</v>
      </c>
      <c r="F79" s="1" t="n">
        <f aca="false">IFERROR(__xludf.dummyfunction("""COMPUTED_VALUE"""),2024)</f>
        <v>2024</v>
      </c>
    </row>
    <row r="80" customFormat="false" ht="15.75" hidden="false" customHeight="false" outlineLevel="0" collapsed="false">
      <c r="A80" s="2" t="str">
        <f aca="false">IFERROR(__xludf.dummyfunction("""COMPUTED_VALUE"""),"31/01/2024")</f>
        <v>31/01/2024</v>
      </c>
      <c r="B80" s="2" t="n">
        <f aca="false">IFERROR(__xludf.dummyfunction("""COMPUTED_VALUE"""),73780)</f>
        <v>73780</v>
      </c>
      <c r="C80" s="1" t="str">
        <f aca="false">IFERROR(__xludf.dummyfunction("""COMPUTED_VALUE"""),"Mantenimientos")</f>
        <v>Mantenimientos</v>
      </c>
      <c r="D80" s="1" t="str">
        <f aca="false">IFERROR(__xludf.dummyfunction("""COMPUTED_VALUE"""),"HidroPack")</f>
        <v>HidroPack</v>
      </c>
      <c r="E80" s="1" t="str">
        <f aca="false">IFERROR(__xludf.dummyfunction("""COMPUTED_VALUE"""),"Enero")</f>
        <v>Enero</v>
      </c>
      <c r="F80" s="1" t="n">
        <f aca="false">IFERROR(__xludf.dummyfunction("""COMPUTED_VALUE"""),2024)</f>
        <v>2024</v>
      </c>
    </row>
    <row r="81" customFormat="false" ht="15.75" hidden="false" customHeight="false" outlineLevel="0" collapsed="false">
      <c r="A81" s="2" t="str">
        <f aca="false">IFERROR(__xludf.dummyfunction("""COMPUTED_VALUE"""),"31/01/2024")</f>
        <v>31/01/2024</v>
      </c>
      <c r="B81" s="2" t="n">
        <f aca="false">IFERROR(__xludf.dummyfunction("""COMPUTED_VALUE"""),1224996)</f>
        <v>1224996</v>
      </c>
      <c r="C81" s="1" t="str">
        <f aca="false">IFERROR(__xludf.dummyfunction("""COMPUTED_VALUE"""),"Sueldos")</f>
        <v>Sueldos</v>
      </c>
      <c r="D81" s="1" t="str">
        <f aca="false">IFERROR(__xludf.dummyfunction("""COMPUTED_VALUE"""),"Remuneraciones")</f>
        <v>Remuneraciones</v>
      </c>
      <c r="E81" s="1" t="str">
        <f aca="false">IFERROR(__xludf.dummyfunction("""COMPUTED_VALUE"""),"Enero")</f>
        <v>Enero</v>
      </c>
      <c r="F81" s="1" t="n">
        <f aca="false">IFERROR(__xludf.dummyfunction("""COMPUTED_VALUE"""),2024)</f>
        <v>2024</v>
      </c>
    </row>
    <row r="82" customFormat="false" ht="15.75" hidden="false" customHeight="false" outlineLevel="0" collapsed="false">
      <c r="A82" s="2" t="str">
        <f aca="false">IFERROR(__xludf.dummyfunction("""COMPUTED_VALUE"""),"28/02/2024")</f>
        <v>28/02/2024</v>
      </c>
      <c r="B82" s="2" t="n">
        <f aca="false">IFERROR(__xludf.dummyfunction("""COMPUTED_VALUE"""),123630)</f>
        <v>123630</v>
      </c>
      <c r="C82" s="1" t="str">
        <f aca="false">IFERROR(__xludf.dummyfunction("""COMPUTED_VALUE"""),"Útiles de Aseo")</f>
        <v>Útiles de Aseo</v>
      </c>
      <c r="D82" s="1" t="str">
        <f aca="false">IFERROR(__xludf.dummyfunction("""COMPUTED_VALUE"""),"Útiles de Aseo")</f>
        <v>Útiles de Aseo</v>
      </c>
      <c r="E82" s="1" t="str">
        <f aca="false">IFERROR(__xludf.dummyfunction("""COMPUTED_VALUE"""),"Febrero")</f>
        <v>Febrero</v>
      </c>
      <c r="F82" s="1" t="n">
        <f aca="false">IFERROR(__xludf.dummyfunction("""COMPUTED_VALUE"""),2024)</f>
        <v>2024</v>
      </c>
    </row>
    <row r="83" customFormat="false" ht="15.75" hidden="false" customHeight="false" outlineLevel="0" collapsed="false">
      <c r="A83" s="2" t="str">
        <f aca="false">IFERROR(__xludf.dummyfunction("""COMPUTED_VALUE"""),"28/02/2024")</f>
        <v>28/02/2024</v>
      </c>
      <c r="B83" s="2" t="n">
        <f aca="false">IFERROR(__xludf.dummyfunction("""COMPUTED_VALUE"""),61200)</f>
        <v>61200</v>
      </c>
      <c r="C83" s="1" t="str">
        <f aca="false">IFERROR(__xludf.dummyfunction("""COMPUTED_VALUE"""),"Servicios Básicos")</f>
        <v>Servicios Básicos</v>
      </c>
      <c r="D83" s="1" t="str">
        <f aca="false">IFERROR(__xludf.dummyfunction("""COMPUTED_VALUE"""),"Servicios Básicos")</f>
        <v>Servicios Básicos</v>
      </c>
      <c r="E83" s="1" t="str">
        <f aca="false">IFERROR(__xludf.dummyfunction("""COMPUTED_VALUE"""),"Febrero")</f>
        <v>Febrero</v>
      </c>
      <c r="F83" s="1" t="n">
        <f aca="false">IFERROR(__xludf.dummyfunction("""COMPUTED_VALUE"""),2024)</f>
        <v>2024</v>
      </c>
    </row>
    <row r="84" customFormat="false" ht="15.75" hidden="false" customHeight="false" outlineLevel="0" collapsed="false">
      <c r="A84" s="2" t="str">
        <f aca="false">IFERROR(__xludf.dummyfunction("""COMPUTED_VALUE"""),"28/02/2024")</f>
        <v>28/02/2024</v>
      </c>
      <c r="B84" s="2" t="n">
        <f aca="false">IFERROR(__xludf.dummyfunction("""COMPUTED_VALUE"""),396547)</f>
        <v>396547</v>
      </c>
      <c r="C84" s="1" t="str">
        <f aca="false">IFERROR(__xludf.dummyfunction("""COMPUTED_VALUE"""),"Cotizaciones Previsionales")</f>
        <v>Cotizaciones Previsionales</v>
      </c>
      <c r="D84" s="1" t="str">
        <f aca="false">IFERROR(__xludf.dummyfunction("""COMPUTED_VALUE"""),"Imposiciones")</f>
        <v>Imposiciones</v>
      </c>
      <c r="E84" s="1" t="str">
        <f aca="false">IFERROR(__xludf.dummyfunction("""COMPUTED_VALUE"""),"Febrero")</f>
        <v>Febrero</v>
      </c>
      <c r="F84" s="1" t="n">
        <f aca="false">IFERROR(__xludf.dummyfunction("""COMPUTED_VALUE"""),2024)</f>
        <v>2024</v>
      </c>
    </row>
    <row r="85" customFormat="false" ht="15.75" hidden="false" customHeight="false" outlineLevel="0" collapsed="false">
      <c r="A85" s="2" t="str">
        <f aca="false">IFERROR(__xludf.dummyfunction("""COMPUTED_VALUE"""),"28/02/2024")</f>
        <v>28/02/2024</v>
      </c>
      <c r="B85" s="2" t="n">
        <f aca="false">IFERROR(__xludf.dummyfunction("""COMPUTED_VALUE"""),130000)</f>
        <v>130000</v>
      </c>
      <c r="C85" s="1" t="str">
        <f aca="false">IFERROR(__xludf.dummyfunction("""COMPUTED_VALUE"""),"Anticipos")</f>
        <v>Anticipos</v>
      </c>
      <c r="D85" s="1" t="str">
        <f aca="false">IFERROR(__xludf.dummyfunction("""COMPUTED_VALUE"""),"Remuneraciones")</f>
        <v>Remuneraciones</v>
      </c>
      <c r="E85" s="1" t="str">
        <f aca="false">IFERROR(__xludf.dummyfunction("""COMPUTED_VALUE"""),"Febrero")</f>
        <v>Febrero</v>
      </c>
      <c r="F85" s="1" t="n">
        <f aca="false">IFERROR(__xludf.dummyfunction("""COMPUTED_VALUE"""),2024)</f>
        <v>2024</v>
      </c>
    </row>
    <row r="86" customFormat="false" ht="15.75" hidden="false" customHeight="false" outlineLevel="0" collapsed="false">
      <c r="A86" s="2" t="str">
        <f aca="false">IFERROR(__xludf.dummyfunction("""COMPUTED_VALUE"""),"28/02/2024")</f>
        <v>28/02/2024</v>
      </c>
      <c r="B86" s="2" t="n">
        <f aca="false">IFERROR(__xludf.dummyfunction("""COMPUTED_VALUE"""),73780)</f>
        <v>73780</v>
      </c>
      <c r="C86" s="1" t="str">
        <f aca="false">IFERROR(__xludf.dummyfunction("""COMPUTED_VALUE"""),"Mantenimientos")</f>
        <v>Mantenimientos</v>
      </c>
      <c r="D86" s="1" t="str">
        <f aca="false">IFERROR(__xludf.dummyfunction("""COMPUTED_VALUE"""),"HidroPack")</f>
        <v>HidroPack</v>
      </c>
      <c r="E86" s="1" t="str">
        <f aca="false">IFERROR(__xludf.dummyfunction("""COMPUTED_VALUE"""),"Febrero")</f>
        <v>Febrero</v>
      </c>
      <c r="F86" s="1" t="n">
        <f aca="false">IFERROR(__xludf.dummyfunction("""COMPUTED_VALUE"""),2024)</f>
        <v>2024</v>
      </c>
    </row>
    <row r="87" customFormat="false" ht="15.75" hidden="false" customHeight="false" outlineLevel="0" collapsed="false">
      <c r="A87" s="2" t="str">
        <f aca="false">IFERROR(__xludf.dummyfunction("""COMPUTED_VALUE"""),"31/03/2024")</f>
        <v>31/03/2024</v>
      </c>
      <c r="B87" s="2" t="n">
        <f aca="false">IFERROR(__xludf.dummyfunction("""COMPUTED_VALUE"""),81860)</f>
        <v>81860</v>
      </c>
      <c r="C87" s="1" t="str">
        <f aca="false">IFERROR(__xludf.dummyfunction("""COMPUTED_VALUE"""),"Útiles de Aseo")</f>
        <v>Útiles de Aseo</v>
      </c>
      <c r="D87" s="1" t="str">
        <f aca="false">IFERROR(__xludf.dummyfunction("""COMPUTED_VALUE"""),"Útiles de Aseo")</f>
        <v>Útiles de Aseo</v>
      </c>
      <c r="E87" s="1" t="str">
        <f aca="false">IFERROR(__xludf.dummyfunction("""COMPUTED_VALUE"""),"Marzo")</f>
        <v>Marzo</v>
      </c>
      <c r="F87" s="1" t="n">
        <f aca="false">IFERROR(__xludf.dummyfunction("""COMPUTED_VALUE"""),2024)</f>
        <v>2024</v>
      </c>
    </row>
    <row r="88" customFormat="false" ht="15.75" hidden="false" customHeight="false" outlineLevel="0" collapsed="false">
      <c r="A88" s="2" t="str">
        <f aca="false">IFERROR(__xludf.dummyfunction("""COMPUTED_VALUE"""),"31/03/2024")</f>
        <v>31/03/2024</v>
      </c>
      <c r="B88" s="2" t="n">
        <f aca="false">IFERROR(__xludf.dummyfunction("""COMPUTED_VALUE"""),61070)</f>
        <v>61070</v>
      </c>
      <c r="C88" s="1" t="str">
        <f aca="false">IFERROR(__xludf.dummyfunction("""COMPUTED_VALUE"""),"Servicios Básicos")</f>
        <v>Servicios Básicos</v>
      </c>
      <c r="D88" s="1" t="str">
        <f aca="false">IFERROR(__xludf.dummyfunction("""COMPUTED_VALUE"""),"Servicios Básicos")</f>
        <v>Servicios Básicos</v>
      </c>
      <c r="E88" s="1" t="str">
        <f aca="false">IFERROR(__xludf.dummyfunction("""COMPUTED_VALUE"""),"Marzo")</f>
        <v>Marzo</v>
      </c>
      <c r="F88" s="1" t="n">
        <f aca="false">IFERROR(__xludf.dummyfunction("""COMPUTED_VALUE"""),2024)</f>
        <v>2024</v>
      </c>
    </row>
    <row r="89" customFormat="false" ht="15.75" hidden="false" customHeight="false" outlineLevel="0" collapsed="false">
      <c r="A89" s="2" t="str">
        <f aca="false">IFERROR(__xludf.dummyfunction("""COMPUTED_VALUE"""),"31/03/2024")</f>
        <v>31/03/2024</v>
      </c>
      <c r="B89" s="2" t="n">
        <f aca="false">IFERROR(__xludf.dummyfunction("""COMPUTED_VALUE"""),250000)</f>
        <v>250000</v>
      </c>
      <c r="C89" s="1" t="str">
        <f aca="false">IFERROR(__xludf.dummyfunction("""COMPUTED_VALUE"""),"Pago Administración ")</f>
        <v>Pago Administración </v>
      </c>
      <c r="D89" s="1" t="str">
        <f aca="false">IFERROR(__xludf.dummyfunction("""COMPUTED_VALUE"""),"Remuneraciones")</f>
        <v>Remuneraciones</v>
      </c>
      <c r="E89" s="1" t="str">
        <f aca="false">IFERROR(__xludf.dummyfunction("""COMPUTED_VALUE"""),"Marzo")</f>
        <v>Marzo</v>
      </c>
      <c r="F89" s="1" t="n">
        <f aca="false">IFERROR(__xludf.dummyfunction("""COMPUTED_VALUE"""),2024)</f>
        <v>2024</v>
      </c>
    </row>
    <row r="90" customFormat="false" ht="15.75" hidden="false" customHeight="false" outlineLevel="0" collapsed="false">
      <c r="A90" s="2" t="str">
        <f aca="false">IFERROR(__xludf.dummyfunction("""COMPUTED_VALUE"""),"31/03/2024")</f>
        <v>31/03/2024</v>
      </c>
      <c r="B90" s="2" t="n">
        <f aca="false">IFERROR(__xludf.dummyfunction("""COMPUTED_VALUE"""),54270)</f>
        <v>54270</v>
      </c>
      <c r="C90" s="1" t="str">
        <f aca="false">IFERROR(__xludf.dummyfunction("""COMPUTED_VALUE"""),"Notaria")</f>
        <v>Notaria</v>
      </c>
      <c r="D90" s="1" t="str">
        <f aca="false">IFERROR(__xludf.dummyfunction("""COMPUTED_VALUE"""),"Trámites")</f>
        <v>Trámites</v>
      </c>
      <c r="E90" s="1" t="str">
        <f aca="false">IFERROR(__xludf.dummyfunction("""COMPUTED_VALUE"""),"Marzo")</f>
        <v>Marzo</v>
      </c>
      <c r="F90" s="1" t="n">
        <f aca="false">IFERROR(__xludf.dummyfunction("""COMPUTED_VALUE"""),2024)</f>
        <v>2024</v>
      </c>
    </row>
    <row r="91" customFormat="false" ht="15.75" hidden="false" customHeight="false" outlineLevel="0" collapsed="false">
      <c r="A91" s="2" t="str">
        <f aca="false">IFERROR(__xludf.dummyfunction("""COMPUTED_VALUE"""),"31/03/2024")</f>
        <v>31/03/2024</v>
      </c>
      <c r="B91" s="2" t="n">
        <f aca="false">IFERROR(__xludf.dummyfunction("""COMPUTED_VALUE"""),313614)</f>
        <v>313614</v>
      </c>
      <c r="C91" s="1" t="str">
        <f aca="false">IFERROR(__xludf.dummyfunction("""COMPUTED_VALUE"""),"Cotizaciones Previsionales")</f>
        <v>Cotizaciones Previsionales</v>
      </c>
      <c r="D91" s="1" t="str">
        <f aca="false">IFERROR(__xludf.dummyfunction("""COMPUTED_VALUE"""),"Imposiciones")</f>
        <v>Imposiciones</v>
      </c>
      <c r="E91" s="1" t="str">
        <f aca="false">IFERROR(__xludf.dummyfunction("""COMPUTED_VALUE"""),"Marzo")</f>
        <v>Marzo</v>
      </c>
      <c r="F91" s="1" t="n">
        <f aca="false">IFERROR(__xludf.dummyfunction("""COMPUTED_VALUE"""),2024)</f>
        <v>2024</v>
      </c>
    </row>
    <row r="92" customFormat="false" ht="15.75" hidden="false" customHeight="false" outlineLevel="0" collapsed="false">
      <c r="A92" s="2" t="str">
        <f aca="false">IFERROR(__xludf.dummyfunction("""COMPUTED_VALUE"""),"31/03/2024")</f>
        <v>31/03/2024</v>
      </c>
      <c r="B92" s="2" t="n">
        <f aca="false">IFERROR(__xludf.dummyfunction("""COMPUTED_VALUE"""),128000)</f>
        <v>128000</v>
      </c>
      <c r="C92" s="1" t="str">
        <f aca="false">IFERROR(__xludf.dummyfunction("""COMPUTED_VALUE"""),"Anticipos")</f>
        <v>Anticipos</v>
      </c>
      <c r="D92" s="1" t="str">
        <f aca="false">IFERROR(__xludf.dummyfunction("""COMPUTED_VALUE"""),"Remuneraciones")</f>
        <v>Remuneraciones</v>
      </c>
      <c r="E92" s="1" t="str">
        <f aca="false">IFERROR(__xludf.dummyfunction("""COMPUTED_VALUE"""),"Marzo")</f>
        <v>Marzo</v>
      </c>
      <c r="F92" s="1" t="n">
        <f aca="false">IFERROR(__xludf.dummyfunction("""COMPUTED_VALUE"""),2024)</f>
        <v>2024</v>
      </c>
    </row>
    <row r="93" customFormat="false" ht="15.75" hidden="false" customHeight="false" outlineLevel="0" collapsed="false">
      <c r="A93" s="2" t="str">
        <f aca="false">IFERROR(__xludf.dummyfunction("""COMPUTED_VALUE"""),"31/03/2024")</f>
        <v>31/03/2024</v>
      </c>
      <c r="B93" s="2" t="n">
        <f aca="false">IFERROR(__xludf.dummyfunction("""COMPUTED_VALUE"""),193780)</f>
        <v>193780</v>
      </c>
      <c r="C93" s="1" t="str">
        <f aca="false">IFERROR(__xludf.dummyfunction("""COMPUTED_VALUE"""),"Mantenimientos")</f>
        <v>Mantenimientos</v>
      </c>
      <c r="D93" s="1" t="str">
        <f aca="false">IFERROR(__xludf.dummyfunction("""COMPUTED_VALUE"""),"HidroPack")</f>
        <v>HidroPack</v>
      </c>
      <c r="E93" s="1" t="str">
        <f aca="false">IFERROR(__xludf.dummyfunction("""COMPUTED_VALUE"""),"Marzo")</f>
        <v>Marzo</v>
      </c>
      <c r="F93" s="1" t="n">
        <f aca="false">IFERROR(__xludf.dummyfunction("""COMPUTED_VALUE"""),2024)</f>
        <v>2024</v>
      </c>
    </row>
    <row r="94" customFormat="false" ht="15.75" hidden="false" customHeight="false" outlineLevel="0" collapsed="false">
      <c r="A94" s="2" t="str">
        <f aca="false">IFERROR(__xludf.dummyfunction("""COMPUTED_VALUE"""),"31/03/2024")</f>
        <v>31/03/2024</v>
      </c>
      <c r="B94" s="2" t="n">
        <f aca="false">IFERROR(__xludf.dummyfunction("""COMPUTED_VALUE"""),1287485)</f>
        <v>1287485</v>
      </c>
      <c r="C94" s="1" t="str">
        <f aca="false">IFERROR(__xludf.dummyfunction("""COMPUTED_VALUE"""),"Sueldos")</f>
        <v>Sueldos</v>
      </c>
      <c r="D94" s="1" t="str">
        <f aca="false">IFERROR(__xludf.dummyfunction("""COMPUTED_VALUE"""),"Remuneraciones")</f>
        <v>Remuneraciones</v>
      </c>
      <c r="E94" s="1" t="str">
        <f aca="false">IFERROR(__xludf.dummyfunction("""COMPUTED_VALUE"""),"Marzo")</f>
        <v>Marzo</v>
      </c>
      <c r="F94" s="1" t="n">
        <f aca="false">IFERROR(__xludf.dummyfunction("""COMPUTED_VALUE"""),2024)</f>
        <v>2024</v>
      </c>
    </row>
    <row r="95" customFormat="false" ht="15.75" hidden="false" customHeight="false" outlineLevel="0" collapsed="false">
      <c r="A95" s="2" t="str">
        <f aca="false">IFERROR(__xludf.dummyfunction("""COMPUTED_VALUE"""),"30/04/2024")</f>
        <v>30/04/2024</v>
      </c>
      <c r="B95" s="2" t="n">
        <f aca="false">IFERROR(__xludf.dummyfunction("""COMPUTED_VALUE"""),109970)</f>
        <v>109970</v>
      </c>
      <c r="C95" s="1" t="str">
        <f aca="false">IFERROR(__xludf.dummyfunction("""COMPUTED_VALUE"""),"Útiles de Aseo")</f>
        <v>Útiles de Aseo</v>
      </c>
      <c r="D95" s="1" t="str">
        <f aca="false">IFERROR(__xludf.dummyfunction("""COMPUTED_VALUE"""),"Útiles de Aseo")</f>
        <v>Útiles de Aseo</v>
      </c>
      <c r="E95" s="1" t="str">
        <f aca="false">IFERROR(__xludf.dummyfunction("""COMPUTED_VALUE"""),"Abril")</f>
        <v>Abril</v>
      </c>
      <c r="F95" s="1" t="n">
        <f aca="false">IFERROR(__xludf.dummyfunction("""COMPUTED_VALUE"""),2024)</f>
        <v>2024</v>
      </c>
    </row>
    <row r="96" customFormat="false" ht="15.75" hidden="false" customHeight="false" outlineLevel="0" collapsed="false">
      <c r="A96" s="2" t="str">
        <f aca="false">IFERROR(__xludf.dummyfunction("""COMPUTED_VALUE"""),"30/04/2024")</f>
        <v>30/04/2024</v>
      </c>
      <c r="B96" s="2" t="n">
        <f aca="false">IFERROR(__xludf.dummyfunction("""COMPUTED_VALUE"""),151020)</f>
        <v>151020</v>
      </c>
      <c r="C96" s="1" t="str">
        <f aca="false">IFERROR(__xludf.dummyfunction("""COMPUTED_VALUE"""),"Servicios Básicos")</f>
        <v>Servicios Básicos</v>
      </c>
      <c r="D96" s="1" t="str">
        <f aca="false">IFERROR(__xludf.dummyfunction("""COMPUTED_VALUE"""),"Servicios Básicos")</f>
        <v>Servicios Básicos</v>
      </c>
      <c r="E96" s="1" t="str">
        <f aca="false">IFERROR(__xludf.dummyfunction("""COMPUTED_VALUE"""),"Abril")</f>
        <v>Abril</v>
      </c>
      <c r="F96" s="1" t="n">
        <f aca="false">IFERROR(__xludf.dummyfunction("""COMPUTED_VALUE"""),2024)</f>
        <v>2024</v>
      </c>
    </row>
    <row r="97" customFormat="false" ht="15.75" hidden="false" customHeight="false" outlineLevel="0" collapsed="false">
      <c r="A97" s="2" t="str">
        <f aca="false">IFERROR(__xludf.dummyfunction("""COMPUTED_VALUE"""),"30/04/2024")</f>
        <v>30/04/2024</v>
      </c>
      <c r="B97" s="2" t="n">
        <f aca="false">IFERROR(__xludf.dummyfunction("""COMPUTED_VALUE"""),250000)</f>
        <v>250000</v>
      </c>
      <c r="C97" s="1" t="str">
        <f aca="false">IFERROR(__xludf.dummyfunction("""COMPUTED_VALUE"""),"Pago Administración ")</f>
        <v>Pago Administración </v>
      </c>
      <c r="D97" s="1" t="str">
        <f aca="false">IFERROR(__xludf.dummyfunction("""COMPUTED_VALUE"""),"Remuneraciones")</f>
        <v>Remuneraciones</v>
      </c>
      <c r="E97" s="1" t="str">
        <f aca="false">IFERROR(__xludf.dummyfunction("""COMPUTED_VALUE"""),"Abril")</f>
        <v>Abril</v>
      </c>
      <c r="F97" s="1" t="n">
        <f aca="false">IFERROR(__xludf.dummyfunction("""COMPUTED_VALUE"""),2024)</f>
        <v>2024</v>
      </c>
    </row>
    <row r="98" customFormat="false" ht="15.75" hidden="false" customHeight="false" outlineLevel="0" collapsed="false">
      <c r="A98" s="2" t="str">
        <f aca="false">IFERROR(__xludf.dummyfunction("""COMPUTED_VALUE"""),"30/04/2024")</f>
        <v>30/04/2024</v>
      </c>
      <c r="B98" s="2" t="n">
        <f aca="false">IFERROR(__xludf.dummyfunction("""COMPUTED_VALUE"""),301758)</f>
        <v>301758</v>
      </c>
      <c r="C98" s="1" t="str">
        <f aca="false">IFERROR(__xludf.dummyfunction("""COMPUTED_VALUE"""),"Cotizaciones Previsionales")</f>
        <v>Cotizaciones Previsionales</v>
      </c>
      <c r="D98" s="1" t="str">
        <f aca="false">IFERROR(__xludf.dummyfunction("""COMPUTED_VALUE"""),"Imposiciones")</f>
        <v>Imposiciones</v>
      </c>
      <c r="E98" s="1" t="str">
        <f aca="false">IFERROR(__xludf.dummyfunction("""COMPUTED_VALUE"""),"Abril")</f>
        <v>Abril</v>
      </c>
      <c r="F98" s="1" t="n">
        <f aca="false">IFERROR(__xludf.dummyfunction("""COMPUTED_VALUE"""),2024)</f>
        <v>2024</v>
      </c>
    </row>
    <row r="99" customFormat="false" ht="15.75" hidden="false" customHeight="false" outlineLevel="0" collapsed="false">
      <c r="A99" s="2" t="str">
        <f aca="false">IFERROR(__xludf.dummyfunction("""COMPUTED_VALUE"""),"30/04/2024")</f>
        <v>30/04/2024</v>
      </c>
      <c r="B99" s="2" t="n">
        <f aca="false">IFERROR(__xludf.dummyfunction("""COMPUTED_VALUE"""),258000)</f>
        <v>258000</v>
      </c>
      <c r="C99" s="1" t="str">
        <f aca="false">IFERROR(__xludf.dummyfunction("""COMPUTED_VALUE"""),"Anticipos")</f>
        <v>Anticipos</v>
      </c>
      <c r="D99" s="1" t="str">
        <f aca="false">IFERROR(__xludf.dummyfunction("""COMPUTED_VALUE"""),"Remuneraciones")</f>
        <v>Remuneraciones</v>
      </c>
      <c r="E99" s="1" t="str">
        <f aca="false">IFERROR(__xludf.dummyfunction("""COMPUTED_VALUE"""),"Abril")</f>
        <v>Abril</v>
      </c>
      <c r="F99" s="1" t="n">
        <f aca="false">IFERROR(__xludf.dummyfunction("""COMPUTED_VALUE"""),2024)</f>
        <v>2024</v>
      </c>
    </row>
    <row r="100" customFormat="false" ht="15.75" hidden="false" customHeight="false" outlineLevel="0" collapsed="false">
      <c r="A100" s="2" t="str">
        <f aca="false">IFERROR(__xludf.dummyfunction("""COMPUTED_VALUE"""),"30/04/2024")</f>
        <v>30/04/2024</v>
      </c>
      <c r="B100" s="2" t="n">
        <f aca="false">IFERROR(__xludf.dummyfunction("""COMPUTED_VALUE"""),128780)</f>
        <v>128780</v>
      </c>
      <c r="C100" s="1" t="str">
        <f aca="false">IFERROR(__xludf.dummyfunction("""COMPUTED_VALUE"""),"Mantenimientos")</f>
        <v>Mantenimientos</v>
      </c>
      <c r="D100" s="1" t="str">
        <f aca="false">IFERROR(__xludf.dummyfunction("""COMPUTED_VALUE"""),"HidroPack")</f>
        <v>HidroPack</v>
      </c>
      <c r="E100" s="1" t="str">
        <f aca="false">IFERROR(__xludf.dummyfunction("""COMPUTED_VALUE"""),"Abril")</f>
        <v>Abril</v>
      </c>
      <c r="F100" s="1" t="n">
        <f aca="false">IFERROR(__xludf.dummyfunction("""COMPUTED_VALUE"""),2024)</f>
        <v>2024</v>
      </c>
    </row>
    <row r="101" customFormat="false" ht="15.75" hidden="false" customHeight="false" outlineLevel="0" collapsed="false">
      <c r="A101" s="2" t="str">
        <f aca="false">IFERROR(__xludf.dummyfunction("""COMPUTED_VALUE"""),"30/04/2024")</f>
        <v>30/04/2024</v>
      </c>
      <c r="B101" s="2" t="n">
        <f aca="false">IFERROR(__xludf.dummyfunction("""COMPUTED_VALUE"""),1179750)</f>
        <v>1179750</v>
      </c>
      <c r="C101" s="1" t="str">
        <f aca="false">IFERROR(__xludf.dummyfunction("""COMPUTED_VALUE"""),"Sueldos")</f>
        <v>Sueldos</v>
      </c>
      <c r="D101" s="1" t="str">
        <f aca="false">IFERROR(__xludf.dummyfunction("""COMPUTED_VALUE"""),"Remuneraciones")</f>
        <v>Remuneraciones</v>
      </c>
      <c r="E101" s="1" t="str">
        <f aca="false">IFERROR(__xludf.dummyfunction("""COMPUTED_VALUE"""),"Abril")</f>
        <v>Abril</v>
      </c>
      <c r="F101" s="1" t="n">
        <f aca="false">IFERROR(__xludf.dummyfunction("""COMPUTED_VALUE"""),2024)</f>
        <v>2024</v>
      </c>
    </row>
    <row r="102" customFormat="false" ht="15.75" hidden="false" customHeight="false" outlineLevel="0" collapsed="false">
      <c r="A102" s="2" t="str">
        <f aca="false">IFERROR(__xludf.dummyfunction("""COMPUTED_VALUE"""),"31/05/2024")</f>
        <v>31/05/2024</v>
      </c>
      <c r="B102" s="2" t="n">
        <f aca="false">IFERROR(__xludf.dummyfunction("""COMPUTED_VALUE"""),108270)</f>
        <v>108270</v>
      </c>
      <c r="C102" s="1" t="str">
        <f aca="false">IFERROR(__xludf.dummyfunction("""COMPUTED_VALUE"""),"Útiles de Aseo")</f>
        <v>Útiles de Aseo</v>
      </c>
      <c r="D102" s="1" t="str">
        <f aca="false">IFERROR(__xludf.dummyfunction("""COMPUTED_VALUE"""),"Útiles de Aseo")</f>
        <v>Útiles de Aseo</v>
      </c>
      <c r="E102" s="1" t="str">
        <f aca="false">IFERROR(__xludf.dummyfunction("""COMPUTED_VALUE"""),"Mayo")</f>
        <v>Mayo</v>
      </c>
      <c r="F102" s="1" t="n">
        <f aca="false">IFERROR(__xludf.dummyfunction("""COMPUTED_VALUE"""),2024)</f>
        <v>2024</v>
      </c>
    </row>
    <row r="103" customFormat="false" ht="15.75" hidden="false" customHeight="false" outlineLevel="0" collapsed="false">
      <c r="A103" s="2" t="str">
        <f aca="false">IFERROR(__xludf.dummyfunction("""COMPUTED_VALUE"""),"31/05/2024")</f>
        <v>31/05/2024</v>
      </c>
      <c r="B103" s="2" t="n">
        <f aca="false">IFERROR(__xludf.dummyfunction("""COMPUTED_VALUE"""),142940)</f>
        <v>142940</v>
      </c>
      <c r="C103" s="1" t="str">
        <f aca="false">IFERROR(__xludf.dummyfunction("""COMPUTED_VALUE"""),"Servicios Básicos")</f>
        <v>Servicios Básicos</v>
      </c>
      <c r="D103" s="1" t="str">
        <f aca="false">IFERROR(__xludf.dummyfunction("""COMPUTED_VALUE"""),"Servicios Básicos")</f>
        <v>Servicios Básicos</v>
      </c>
      <c r="E103" s="1" t="str">
        <f aca="false">IFERROR(__xludf.dummyfunction("""COMPUTED_VALUE"""),"Mayo")</f>
        <v>Mayo</v>
      </c>
      <c r="F103" s="1" t="n">
        <f aca="false">IFERROR(__xludf.dummyfunction("""COMPUTED_VALUE"""),2024)</f>
        <v>2024</v>
      </c>
    </row>
    <row r="104" customFormat="false" ht="15.75" hidden="false" customHeight="false" outlineLevel="0" collapsed="false">
      <c r="A104" s="2" t="str">
        <f aca="false">IFERROR(__xludf.dummyfunction("""COMPUTED_VALUE"""),"31/05/2024")</f>
        <v>31/05/2024</v>
      </c>
      <c r="B104" s="2" t="n">
        <f aca="false">IFERROR(__xludf.dummyfunction("""COMPUTED_VALUE"""),250000)</f>
        <v>250000</v>
      </c>
      <c r="C104" s="1" t="str">
        <f aca="false">IFERROR(__xludf.dummyfunction("""COMPUTED_VALUE"""),"Pago Administración ")</f>
        <v>Pago Administración </v>
      </c>
      <c r="D104" s="1" t="str">
        <f aca="false">IFERROR(__xludf.dummyfunction("""COMPUTED_VALUE"""),"Remuneraciones")</f>
        <v>Remuneraciones</v>
      </c>
      <c r="E104" s="1" t="str">
        <f aca="false">IFERROR(__xludf.dummyfunction("""COMPUTED_VALUE"""),"Mayo")</f>
        <v>Mayo</v>
      </c>
      <c r="F104" s="1" t="n">
        <f aca="false">IFERROR(__xludf.dummyfunction("""COMPUTED_VALUE"""),2024)</f>
        <v>2024</v>
      </c>
    </row>
    <row r="105" customFormat="false" ht="15.75" hidden="false" customHeight="false" outlineLevel="0" collapsed="false">
      <c r="A105" s="2" t="str">
        <f aca="false">IFERROR(__xludf.dummyfunction("""COMPUTED_VALUE"""),"31/05/2024")</f>
        <v>31/05/2024</v>
      </c>
      <c r="B105" s="2" t="n">
        <f aca="false">IFERROR(__xludf.dummyfunction("""COMPUTED_VALUE"""),420154)</f>
        <v>420154</v>
      </c>
      <c r="C105" s="1" t="str">
        <f aca="false">IFERROR(__xludf.dummyfunction("""COMPUTED_VALUE"""),"Cotizaciones Previsionales")</f>
        <v>Cotizaciones Previsionales</v>
      </c>
      <c r="D105" s="1" t="str">
        <f aca="false">IFERROR(__xludf.dummyfunction("""COMPUTED_VALUE"""),"Imposiciones")</f>
        <v>Imposiciones</v>
      </c>
      <c r="E105" s="1" t="str">
        <f aca="false">IFERROR(__xludf.dummyfunction("""COMPUTED_VALUE"""),"Mayo")</f>
        <v>Mayo</v>
      </c>
      <c r="F105" s="1" t="n">
        <f aca="false">IFERROR(__xludf.dummyfunction("""COMPUTED_VALUE"""),2024)</f>
        <v>2024</v>
      </c>
    </row>
    <row r="106" customFormat="false" ht="15.75" hidden="false" customHeight="false" outlineLevel="0" collapsed="false">
      <c r="A106" s="2" t="str">
        <f aca="false">IFERROR(__xludf.dummyfunction("""COMPUTED_VALUE"""),"31/05/2024")</f>
        <v>31/05/2024</v>
      </c>
      <c r="B106" s="2" t="n">
        <f aca="false">IFERROR(__xludf.dummyfunction("""COMPUTED_VALUE"""),202000)</f>
        <v>202000</v>
      </c>
      <c r="C106" s="1" t="str">
        <f aca="false">IFERROR(__xludf.dummyfunction("""COMPUTED_VALUE"""),"Anticipos")</f>
        <v>Anticipos</v>
      </c>
      <c r="D106" s="1" t="str">
        <f aca="false">IFERROR(__xludf.dummyfunction("""COMPUTED_VALUE"""),"Remuneraciones")</f>
        <v>Remuneraciones</v>
      </c>
      <c r="E106" s="1" t="str">
        <f aca="false">IFERROR(__xludf.dummyfunction("""COMPUTED_VALUE"""),"Mayo")</f>
        <v>Mayo</v>
      </c>
      <c r="F106" s="1" t="n">
        <f aca="false">IFERROR(__xludf.dummyfunction("""COMPUTED_VALUE"""),2024)</f>
        <v>2024</v>
      </c>
    </row>
    <row r="107" customFormat="false" ht="15.75" hidden="false" customHeight="false" outlineLevel="0" collapsed="false">
      <c r="A107" s="2" t="str">
        <f aca="false">IFERROR(__xludf.dummyfunction("""COMPUTED_VALUE"""),"31/05/2024")</f>
        <v>31/05/2024</v>
      </c>
      <c r="B107" s="2" t="n">
        <f aca="false">IFERROR(__xludf.dummyfunction("""COMPUTED_VALUE"""),73780)</f>
        <v>73780</v>
      </c>
      <c r="C107" s="1" t="str">
        <f aca="false">IFERROR(__xludf.dummyfunction("""COMPUTED_VALUE"""),"Mantenimientos")</f>
        <v>Mantenimientos</v>
      </c>
      <c r="D107" s="1" t="str">
        <f aca="false">IFERROR(__xludf.dummyfunction("""COMPUTED_VALUE"""),"HidroPack")</f>
        <v>HidroPack</v>
      </c>
      <c r="E107" s="1" t="str">
        <f aca="false">IFERROR(__xludf.dummyfunction("""COMPUTED_VALUE"""),"Mayo")</f>
        <v>Mayo</v>
      </c>
      <c r="F107" s="1" t="n">
        <f aca="false">IFERROR(__xludf.dummyfunction("""COMPUTED_VALUE"""),2024)</f>
        <v>2024</v>
      </c>
    </row>
    <row r="108" customFormat="false" ht="15.75" hidden="false" customHeight="false" outlineLevel="0" collapsed="false">
      <c r="A108" s="2" t="str">
        <f aca="false">IFERROR(__xludf.dummyfunction("""COMPUTED_VALUE"""),"31/05/2024")</f>
        <v>31/05/2024</v>
      </c>
      <c r="B108" s="2" t="n">
        <f aca="false">IFERROR(__xludf.dummyfunction("""COMPUTED_VALUE"""),1233281)</f>
        <v>1233281</v>
      </c>
      <c r="C108" s="1" t="str">
        <f aca="false">IFERROR(__xludf.dummyfunction("""COMPUTED_VALUE"""),"Sueldos")</f>
        <v>Sueldos</v>
      </c>
      <c r="D108" s="1" t="str">
        <f aca="false">IFERROR(__xludf.dummyfunction("""COMPUTED_VALUE"""),"Remuneraciones")</f>
        <v>Remuneraciones</v>
      </c>
      <c r="E108" s="1" t="str">
        <f aca="false">IFERROR(__xludf.dummyfunction("""COMPUTED_VALUE"""),"Mayo")</f>
        <v>Mayo</v>
      </c>
      <c r="F108" s="1" t="n">
        <f aca="false">IFERROR(__xludf.dummyfunction("""COMPUTED_VALUE"""),2024)</f>
        <v>2024</v>
      </c>
    </row>
    <row r="109" customFormat="false" ht="15.75" hidden="false" customHeight="false" outlineLevel="0" collapsed="false">
      <c r="A109" s="2" t="str">
        <f aca="false">IFERROR(__xludf.dummyfunction("""COMPUTED_VALUE"""),"30/06/2024")</f>
        <v>30/06/2024</v>
      </c>
      <c r="B109" s="2" t="n">
        <f aca="false">IFERROR(__xludf.dummyfunction("""COMPUTED_VALUE"""),116770)</f>
        <v>116770</v>
      </c>
      <c r="C109" s="1" t="str">
        <f aca="false">IFERROR(__xludf.dummyfunction("""COMPUTED_VALUE"""),"Útiles de Aseo")</f>
        <v>Útiles de Aseo</v>
      </c>
      <c r="D109" s="1" t="str">
        <f aca="false">IFERROR(__xludf.dummyfunction("""COMPUTED_VALUE"""),"Útiles de Aseo")</f>
        <v>Útiles de Aseo</v>
      </c>
      <c r="E109" s="1" t="str">
        <f aca="false">IFERROR(__xludf.dummyfunction("""COMPUTED_VALUE"""),"Junio")</f>
        <v>Junio</v>
      </c>
      <c r="F109" s="1" t="n">
        <f aca="false">IFERROR(__xludf.dummyfunction("""COMPUTED_VALUE"""),2024)</f>
        <v>2024</v>
      </c>
    </row>
    <row r="110" customFormat="false" ht="15.75" hidden="false" customHeight="false" outlineLevel="0" collapsed="false">
      <c r="A110" s="2" t="str">
        <f aca="false">IFERROR(__xludf.dummyfunction("""COMPUTED_VALUE"""),"30/06/2024")</f>
        <v>30/06/2024</v>
      </c>
      <c r="B110" s="2" t="n">
        <f aca="false">IFERROR(__xludf.dummyfunction("""COMPUTED_VALUE"""),42330)</f>
        <v>42330</v>
      </c>
      <c r="C110" s="1" t="str">
        <f aca="false">IFERROR(__xludf.dummyfunction("""COMPUTED_VALUE"""),"Servicios Básicos")</f>
        <v>Servicios Básicos</v>
      </c>
      <c r="D110" s="1" t="str">
        <f aca="false">IFERROR(__xludf.dummyfunction("""COMPUTED_VALUE"""),"Servicios Básicos")</f>
        <v>Servicios Básicos</v>
      </c>
      <c r="E110" s="1" t="str">
        <f aca="false">IFERROR(__xludf.dummyfunction("""COMPUTED_VALUE"""),"Junio")</f>
        <v>Junio</v>
      </c>
      <c r="F110" s="1" t="n">
        <f aca="false">IFERROR(__xludf.dummyfunction("""COMPUTED_VALUE"""),2024)</f>
        <v>2024</v>
      </c>
    </row>
    <row r="111" customFormat="false" ht="15.75" hidden="false" customHeight="false" outlineLevel="0" collapsed="false">
      <c r="A111" s="2" t="str">
        <f aca="false">IFERROR(__xludf.dummyfunction("""COMPUTED_VALUE"""),"30/06/2024")</f>
        <v>30/06/2024</v>
      </c>
      <c r="B111" s="2" t="n">
        <f aca="false">IFERROR(__xludf.dummyfunction("""COMPUTED_VALUE"""),500000)</f>
        <v>500000</v>
      </c>
      <c r="C111" s="1" t="str">
        <f aca="false">IFERROR(__xludf.dummyfunction("""COMPUTED_VALUE"""),"Pago Administración ")</f>
        <v>Pago Administración </v>
      </c>
      <c r="D111" s="1" t="str">
        <f aca="false">IFERROR(__xludf.dummyfunction("""COMPUTED_VALUE"""),"Remuneraciones")</f>
        <v>Remuneraciones</v>
      </c>
      <c r="E111" s="1" t="str">
        <f aca="false">IFERROR(__xludf.dummyfunction("""COMPUTED_VALUE"""),"Junio")</f>
        <v>Junio</v>
      </c>
      <c r="F111" s="1" t="n">
        <f aca="false">IFERROR(__xludf.dummyfunction("""COMPUTED_VALUE"""),2024)</f>
        <v>2024</v>
      </c>
    </row>
    <row r="112" customFormat="false" ht="15.75" hidden="false" customHeight="false" outlineLevel="0" collapsed="false">
      <c r="A112" s="2" t="str">
        <f aca="false">IFERROR(__xludf.dummyfunction("""COMPUTED_VALUE"""),"30/06/2024")</f>
        <v>30/06/2024</v>
      </c>
      <c r="B112" s="2" t="n">
        <f aca="false">IFERROR(__xludf.dummyfunction("""COMPUTED_VALUE"""),357170)</f>
        <v>357170</v>
      </c>
      <c r="C112" s="1" t="str">
        <f aca="false">IFERROR(__xludf.dummyfunction("""COMPUTED_VALUE"""),"Cotizaciones Previsionales")</f>
        <v>Cotizaciones Previsionales</v>
      </c>
      <c r="D112" s="1" t="str">
        <f aca="false">IFERROR(__xludf.dummyfunction("""COMPUTED_VALUE"""),"Imposiciones")</f>
        <v>Imposiciones</v>
      </c>
      <c r="E112" s="1" t="str">
        <f aca="false">IFERROR(__xludf.dummyfunction("""COMPUTED_VALUE"""),"Junio")</f>
        <v>Junio</v>
      </c>
      <c r="F112" s="1" t="n">
        <f aca="false">IFERROR(__xludf.dummyfunction("""COMPUTED_VALUE"""),2024)</f>
        <v>2024</v>
      </c>
    </row>
    <row r="113" customFormat="false" ht="15.75" hidden="false" customHeight="false" outlineLevel="0" collapsed="false">
      <c r="A113" s="2" t="str">
        <f aca="false">IFERROR(__xludf.dummyfunction("""COMPUTED_VALUE"""),"30/06/2024")</f>
        <v>30/06/2024</v>
      </c>
      <c r="B113" s="2" t="n">
        <f aca="false">IFERROR(__xludf.dummyfunction("""COMPUTED_VALUE"""),201500)</f>
        <v>201500</v>
      </c>
      <c r="C113" s="1" t="str">
        <f aca="false">IFERROR(__xludf.dummyfunction("""COMPUTED_VALUE"""),"Anticipos")</f>
        <v>Anticipos</v>
      </c>
      <c r="D113" s="1" t="str">
        <f aca="false">IFERROR(__xludf.dummyfunction("""COMPUTED_VALUE"""),"Remuneraciones")</f>
        <v>Remuneraciones</v>
      </c>
      <c r="E113" s="1" t="str">
        <f aca="false">IFERROR(__xludf.dummyfunction("""COMPUTED_VALUE"""),"Junio")</f>
        <v>Junio</v>
      </c>
      <c r="F113" s="1" t="n">
        <f aca="false">IFERROR(__xludf.dummyfunction("""COMPUTED_VALUE"""),2024)</f>
        <v>2024</v>
      </c>
    </row>
    <row r="114" customFormat="false" ht="15.75" hidden="false" customHeight="false" outlineLevel="0" collapsed="false">
      <c r="A114" s="2" t="str">
        <f aca="false">IFERROR(__xludf.dummyfunction("""COMPUTED_VALUE"""),"30/06/2024")</f>
        <v>30/06/2024</v>
      </c>
      <c r="B114" s="2" t="n">
        <f aca="false">IFERROR(__xludf.dummyfunction("""COMPUTED_VALUE"""),73780)</f>
        <v>73780</v>
      </c>
      <c r="C114" s="1" t="str">
        <f aca="false">IFERROR(__xludf.dummyfunction("""COMPUTED_VALUE"""),"Mantenimientos")</f>
        <v>Mantenimientos</v>
      </c>
      <c r="D114" s="1" t="str">
        <f aca="false">IFERROR(__xludf.dummyfunction("""COMPUTED_VALUE"""),"HidroPack")</f>
        <v>HidroPack</v>
      </c>
      <c r="E114" s="1" t="str">
        <f aca="false">IFERROR(__xludf.dummyfunction("""COMPUTED_VALUE"""),"Junio")</f>
        <v>Junio</v>
      </c>
      <c r="F114" s="1" t="n">
        <f aca="false">IFERROR(__xludf.dummyfunction("""COMPUTED_VALUE"""),2024)</f>
        <v>2024</v>
      </c>
    </row>
    <row r="115" customFormat="false" ht="15.75" hidden="false" customHeight="false" outlineLevel="0" collapsed="false">
      <c r="A115" s="2" t="str">
        <f aca="false">IFERROR(__xludf.dummyfunction("""COMPUTED_VALUE"""),"30/06/2024")</f>
        <v>30/06/2024</v>
      </c>
      <c r="B115" s="2" t="n">
        <f aca="false">IFERROR(__xludf.dummyfunction("""COMPUTED_VALUE"""),2502795)</f>
        <v>2502795</v>
      </c>
      <c r="C115" s="1" t="str">
        <f aca="false">IFERROR(__xludf.dummyfunction("""COMPUTED_VALUE"""),"Sueldos")</f>
        <v>Sueldos</v>
      </c>
      <c r="D115" s="1" t="str">
        <f aca="false">IFERROR(__xludf.dummyfunction("""COMPUTED_VALUE"""),"Remuneraciones")</f>
        <v>Remuneraciones</v>
      </c>
      <c r="E115" s="1" t="str">
        <f aca="false">IFERROR(__xludf.dummyfunction("""COMPUTED_VALUE"""),"Junio")</f>
        <v>Junio</v>
      </c>
      <c r="F115" s="1" t="n">
        <f aca="false">IFERROR(__xludf.dummyfunction("""COMPUTED_VALUE"""),2024)</f>
        <v>2024</v>
      </c>
    </row>
    <row r="116" customFormat="false" ht="15.75" hidden="false" customHeight="false" outlineLevel="0" collapsed="false">
      <c r="A116" s="2" t="str">
        <f aca="false">IFERROR(__xludf.dummyfunction("""COMPUTED_VALUE"""),"31/07/2024")</f>
        <v>31/07/2024</v>
      </c>
      <c r="B116" s="2" t="n">
        <f aca="false">IFERROR(__xludf.dummyfunction("""COMPUTED_VALUE"""),153340)</f>
        <v>153340</v>
      </c>
      <c r="C116" s="1" t="str">
        <f aca="false">IFERROR(__xludf.dummyfunction("""COMPUTED_VALUE"""),"Útiles de Aseo")</f>
        <v>Útiles de Aseo</v>
      </c>
      <c r="D116" s="1" t="str">
        <f aca="false">IFERROR(__xludf.dummyfunction("""COMPUTED_VALUE"""),"Útiles de Aseo")</f>
        <v>Útiles de Aseo</v>
      </c>
      <c r="E116" s="1" t="str">
        <f aca="false">IFERROR(__xludf.dummyfunction("""COMPUTED_VALUE"""),"Julio")</f>
        <v>Julio</v>
      </c>
      <c r="F116" s="1" t="n">
        <f aca="false">IFERROR(__xludf.dummyfunction("""COMPUTED_VALUE"""),2024)</f>
        <v>2024</v>
      </c>
    </row>
    <row r="117" customFormat="false" ht="15.75" hidden="false" customHeight="false" outlineLevel="0" collapsed="false">
      <c r="A117" s="2" t="str">
        <f aca="false">IFERROR(__xludf.dummyfunction("""COMPUTED_VALUE"""),"31/07/2024")</f>
        <v>31/07/2024</v>
      </c>
      <c r="B117" s="2" t="n">
        <f aca="false">IFERROR(__xludf.dummyfunction("""COMPUTED_VALUE"""),81840)</f>
        <v>81840</v>
      </c>
      <c r="C117" s="1" t="str">
        <f aca="false">IFERROR(__xludf.dummyfunction("""COMPUTED_VALUE"""),"Servicios Básicos")</f>
        <v>Servicios Básicos</v>
      </c>
      <c r="D117" s="1" t="str">
        <f aca="false">IFERROR(__xludf.dummyfunction("""COMPUTED_VALUE"""),"Servicios Básicos")</f>
        <v>Servicios Básicos</v>
      </c>
      <c r="E117" s="1" t="str">
        <f aca="false">IFERROR(__xludf.dummyfunction("""COMPUTED_VALUE"""),"Julio")</f>
        <v>Julio</v>
      </c>
      <c r="F117" s="1" t="n">
        <f aca="false">IFERROR(__xludf.dummyfunction("""COMPUTED_VALUE"""),2024)</f>
        <v>2024</v>
      </c>
    </row>
    <row r="118" customFormat="false" ht="15.75" hidden="false" customHeight="false" outlineLevel="0" collapsed="false">
      <c r="A118" s="2" t="str">
        <f aca="false">IFERROR(__xludf.dummyfunction("""COMPUTED_VALUE"""),"31/07/2024")</f>
        <v>31/07/2024</v>
      </c>
      <c r="B118" s="2" t="n">
        <f aca="false">IFERROR(__xludf.dummyfunction("""COMPUTED_VALUE"""),25000)</f>
        <v>25000</v>
      </c>
      <c r="C118" s="1" t="str">
        <f aca="false">IFERROR(__xludf.dummyfunction("""COMPUTED_VALUE"""),"Pago Administración ")</f>
        <v>Pago Administración </v>
      </c>
      <c r="D118" s="1" t="str">
        <f aca="false">IFERROR(__xludf.dummyfunction("""COMPUTED_VALUE"""),"Remuneraciones")</f>
        <v>Remuneraciones</v>
      </c>
      <c r="E118" s="1" t="str">
        <f aca="false">IFERROR(__xludf.dummyfunction("""COMPUTED_VALUE"""),"Julio")</f>
        <v>Julio</v>
      </c>
      <c r="F118" s="1" t="n">
        <f aca="false">IFERROR(__xludf.dummyfunction("""COMPUTED_VALUE"""),2024)</f>
        <v>2024</v>
      </c>
    </row>
    <row r="119" customFormat="false" ht="15.75" hidden="false" customHeight="false" outlineLevel="0" collapsed="false">
      <c r="A119" s="2" t="str">
        <f aca="false">IFERROR(__xludf.dummyfunction("""COMPUTED_VALUE"""),"31/07/2024")</f>
        <v>31/07/2024</v>
      </c>
      <c r="B119" s="2" t="n">
        <f aca="false">IFERROR(__xludf.dummyfunction("""COMPUTED_VALUE"""),367400)</f>
        <v>367400</v>
      </c>
      <c r="C119" s="1" t="str">
        <f aca="false">IFERROR(__xludf.dummyfunction("""COMPUTED_VALUE"""),"Finiquito")</f>
        <v>Finiquito</v>
      </c>
      <c r="D119" s="1" t="str">
        <f aca="false">IFERROR(__xludf.dummyfunction("""COMPUTED_VALUE"""),"Trámites")</f>
        <v>Trámites</v>
      </c>
      <c r="E119" s="1" t="str">
        <f aca="false">IFERROR(__xludf.dummyfunction("""COMPUTED_VALUE"""),"Julio")</f>
        <v>Julio</v>
      </c>
      <c r="F119" s="1" t="n">
        <f aca="false">IFERROR(__xludf.dummyfunction("""COMPUTED_VALUE"""),2024)</f>
        <v>2024</v>
      </c>
    </row>
    <row r="120" customFormat="false" ht="15.75" hidden="false" customHeight="false" outlineLevel="0" collapsed="false">
      <c r="A120" s="2" t="str">
        <f aca="false">IFERROR(__xludf.dummyfunction("""COMPUTED_VALUE"""),"31/07/2024")</f>
        <v>31/07/2024</v>
      </c>
      <c r="B120" s="2" t="n">
        <f aca="false">IFERROR(__xludf.dummyfunction("""COMPUTED_VALUE"""),401585)</f>
        <v>401585</v>
      </c>
      <c r="C120" s="1" t="str">
        <f aca="false">IFERROR(__xludf.dummyfunction("""COMPUTED_VALUE"""),"Cotizaciones Previsionales")</f>
        <v>Cotizaciones Previsionales</v>
      </c>
      <c r="D120" s="1" t="str">
        <f aca="false">IFERROR(__xludf.dummyfunction("""COMPUTED_VALUE"""),"Imposiciones")</f>
        <v>Imposiciones</v>
      </c>
      <c r="E120" s="1" t="str">
        <f aca="false">IFERROR(__xludf.dummyfunction("""COMPUTED_VALUE"""),"Julio")</f>
        <v>Julio</v>
      </c>
      <c r="F120" s="1" t="n">
        <f aca="false">IFERROR(__xludf.dummyfunction("""COMPUTED_VALUE"""),2024)</f>
        <v>2024</v>
      </c>
    </row>
    <row r="121" customFormat="false" ht="15.75" hidden="false" customHeight="false" outlineLevel="0" collapsed="false">
      <c r="A121" s="2" t="str">
        <f aca="false">IFERROR(__xludf.dummyfunction("""COMPUTED_VALUE"""),"31/07/2024")</f>
        <v>31/07/2024</v>
      </c>
      <c r="B121" s="2" t="n">
        <f aca="false">IFERROR(__xludf.dummyfunction("""COMPUTED_VALUE"""),217000)</f>
        <v>217000</v>
      </c>
      <c r="C121" s="1" t="str">
        <f aca="false">IFERROR(__xludf.dummyfunction("""COMPUTED_VALUE"""),"Anticipos")</f>
        <v>Anticipos</v>
      </c>
      <c r="D121" s="1" t="str">
        <f aca="false">IFERROR(__xludf.dummyfunction("""COMPUTED_VALUE"""),"Remuneraciones")</f>
        <v>Remuneraciones</v>
      </c>
      <c r="E121" s="1" t="str">
        <f aca="false">IFERROR(__xludf.dummyfunction("""COMPUTED_VALUE"""),"Julio")</f>
        <v>Julio</v>
      </c>
      <c r="F121" s="1" t="n">
        <f aca="false">IFERROR(__xludf.dummyfunction("""COMPUTED_VALUE"""),2024)</f>
        <v>2024</v>
      </c>
    </row>
    <row r="122" customFormat="false" ht="15.75" hidden="false" customHeight="false" outlineLevel="0" collapsed="false">
      <c r="A122" s="2" t="str">
        <f aca="false">IFERROR(__xludf.dummyfunction("""COMPUTED_VALUE"""),"31/07/2024")</f>
        <v>31/07/2024</v>
      </c>
      <c r="B122" s="2" t="n">
        <f aca="false">IFERROR(__xludf.dummyfunction("""COMPUTED_VALUE"""),73780)</f>
        <v>73780</v>
      </c>
      <c r="C122" s="1" t="str">
        <f aca="false">IFERROR(__xludf.dummyfunction("""COMPUTED_VALUE"""),"Mantenimientos")</f>
        <v>Mantenimientos</v>
      </c>
      <c r="D122" s="1" t="str">
        <f aca="false">IFERROR(__xludf.dummyfunction("""COMPUTED_VALUE"""),"HidroPack")</f>
        <v>HidroPack</v>
      </c>
      <c r="E122" s="1" t="str">
        <f aca="false">IFERROR(__xludf.dummyfunction("""COMPUTED_VALUE"""),"Julio")</f>
        <v>Julio</v>
      </c>
      <c r="F122" s="1" t="n">
        <f aca="false">IFERROR(__xludf.dummyfunction("""COMPUTED_VALUE"""),2024)</f>
        <v>2024</v>
      </c>
    </row>
    <row r="123" customFormat="false" ht="15.75" hidden="false" customHeight="false" outlineLevel="0" collapsed="false">
      <c r="A123" s="2" t="str">
        <f aca="false">IFERROR(__xludf.dummyfunction("""COMPUTED_VALUE"""),"31/07/2024")</f>
        <v>31/07/2024</v>
      </c>
      <c r="B123" s="2" t="n">
        <f aca="false">IFERROR(__xludf.dummyfunction("""COMPUTED_VALUE"""),13537000)</f>
        <v>13537000</v>
      </c>
      <c r="C123" s="1" t="str">
        <f aca="false">IFERROR(__xludf.dummyfunction("""COMPUTED_VALUE"""),"Sueldos")</f>
        <v>Sueldos</v>
      </c>
      <c r="D123" s="1" t="str">
        <f aca="false">IFERROR(__xludf.dummyfunction("""COMPUTED_VALUE"""),"Remuneraciones")</f>
        <v>Remuneraciones</v>
      </c>
      <c r="E123" s="1" t="str">
        <f aca="false">IFERROR(__xludf.dummyfunction("""COMPUTED_VALUE"""),"Julio")</f>
        <v>Julio</v>
      </c>
      <c r="F123" s="1" t="n">
        <f aca="false">IFERROR(__xludf.dummyfunction("""COMPUTED_VALUE"""),2024)</f>
        <v>2024</v>
      </c>
    </row>
    <row r="124" customFormat="false" ht="15.75" hidden="false" customHeight="false" outlineLevel="0" collapsed="false">
      <c r="A124" s="2" t="str">
        <f aca="false">IFERROR(__xludf.dummyfunction("""COMPUTED_VALUE"""),"31/08/2024")</f>
        <v>31/08/2024</v>
      </c>
      <c r="B124" s="2" t="n">
        <f aca="false">IFERROR(__xludf.dummyfunction("""COMPUTED_VALUE"""),76130)</f>
        <v>76130</v>
      </c>
      <c r="C124" s="1" t="str">
        <f aca="false">IFERROR(__xludf.dummyfunction("""COMPUTED_VALUE"""),"Útiles de Aseo")</f>
        <v>Útiles de Aseo</v>
      </c>
      <c r="D124" s="1" t="str">
        <f aca="false">IFERROR(__xludf.dummyfunction("""COMPUTED_VALUE"""),"Útiles de Aseo")</f>
        <v>Útiles de Aseo</v>
      </c>
      <c r="E124" s="1" t="str">
        <f aca="false">IFERROR(__xludf.dummyfunction("""COMPUTED_VALUE"""),"Agosto")</f>
        <v>Agosto</v>
      </c>
      <c r="F124" s="1" t="n">
        <f aca="false">IFERROR(__xludf.dummyfunction("""COMPUTED_VALUE"""),2024)</f>
        <v>2024</v>
      </c>
    </row>
    <row r="125" customFormat="false" ht="15.75" hidden="false" customHeight="false" outlineLevel="0" collapsed="false">
      <c r="A125" s="2" t="str">
        <f aca="false">IFERROR(__xludf.dummyfunction("""COMPUTED_VALUE"""),"31/08/2024")</f>
        <v>31/08/2024</v>
      </c>
      <c r="B125" s="2" t="n">
        <f aca="false">IFERROR(__xludf.dummyfunction("""COMPUTED_VALUE"""),231379)</f>
        <v>231379</v>
      </c>
      <c r="C125" s="1" t="str">
        <f aca="false">IFERROR(__xludf.dummyfunction("""COMPUTED_VALUE"""),"Servicios Básicos")</f>
        <v>Servicios Básicos</v>
      </c>
      <c r="D125" s="1" t="str">
        <f aca="false">IFERROR(__xludf.dummyfunction("""COMPUTED_VALUE"""),"Servicios Básicos")</f>
        <v>Servicios Básicos</v>
      </c>
      <c r="E125" s="1" t="str">
        <f aca="false">IFERROR(__xludf.dummyfunction("""COMPUTED_VALUE"""),"Agosto")</f>
        <v>Agosto</v>
      </c>
      <c r="F125" s="1" t="n">
        <f aca="false">IFERROR(__xludf.dummyfunction("""COMPUTED_VALUE"""),2024)</f>
        <v>2024</v>
      </c>
    </row>
    <row r="126" customFormat="false" ht="15.75" hidden="false" customHeight="false" outlineLevel="0" collapsed="false">
      <c r="A126" s="2" t="str">
        <f aca="false">IFERROR(__xludf.dummyfunction("""COMPUTED_VALUE"""),"31/08/2024")</f>
        <v>31/08/2024</v>
      </c>
      <c r="B126" s="2" t="n">
        <f aca="false">IFERROR(__xludf.dummyfunction("""COMPUTED_VALUE"""),250000)</f>
        <v>250000</v>
      </c>
      <c r="C126" s="1" t="str">
        <f aca="false">IFERROR(__xludf.dummyfunction("""COMPUTED_VALUE"""),"Pago Administración ")</f>
        <v>Pago Administración </v>
      </c>
      <c r="D126" s="1" t="str">
        <f aca="false">IFERROR(__xludf.dummyfunction("""COMPUTED_VALUE"""),"Remuneraciones")</f>
        <v>Remuneraciones</v>
      </c>
      <c r="E126" s="1" t="str">
        <f aca="false">IFERROR(__xludf.dummyfunction("""COMPUTED_VALUE"""),"Agosto")</f>
        <v>Agosto</v>
      </c>
      <c r="F126" s="1" t="n">
        <f aca="false">IFERROR(__xludf.dummyfunction("""COMPUTED_VALUE"""),2024)</f>
        <v>2024</v>
      </c>
    </row>
    <row r="127" customFormat="false" ht="15.75" hidden="false" customHeight="false" outlineLevel="0" collapsed="false">
      <c r="A127" s="2" t="str">
        <f aca="false">IFERROR(__xludf.dummyfunction("""COMPUTED_VALUE"""),"31/08/2024")</f>
        <v>31/08/2024</v>
      </c>
      <c r="B127" s="2" t="n">
        <f aca="false">IFERROR(__xludf.dummyfunction("""COMPUTED_VALUE"""),0)</f>
        <v>0</v>
      </c>
      <c r="C127" s="1" t="str">
        <f aca="false">IFERROR(__xludf.dummyfunction("""COMPUTED_VALUE"""),"Aguinaldos")</f>
        <v>Aguinaldos</v>
      </c>
      <c r="D127" s="1" t="str">
        <f aca="false">IFERROR(__xludf.dummyfunction("""COMPUTED_VALUE"""),"Aguinaldos")</f>
        <v>Aguinaldos</v>
      </c>
      <c r="E127" s="1" t="str">
        <f aca="false">IFERROR(__xludf.dummyfunction("""COMPUTED_VALUE"""),"Agosto")</f>
        <v>Agosto</v>
      </c>
      <c r="F127" s="1" t="n">
        <f aca="false">IFERROR(__xludf.dummyfunction("""COMPUTED_VALUE"""),2024)</f>
        <v>2024</v>
      </c>
    </row>
    <row r="128" customFormat="false" ht="15.75" hidden="false" customHeight="false" outlineLevel="0" collapsed="false">
      <c r="A128" s="2" t="str">
        <f aca="false">IFERROR(__xludf.dummyfunction("""COMPUTED_VALUE"""),"31/08/2024")</f>
        <v>31/08/2024</v>
      </c>
      <c r="B128" s="2" t="n">
        <f aca="false">IFERROR(__xludf.dummyfunction("""COMPUTED_VALUE"""),387537)</f>
        <v>387537</v>
      </c>
      <c r="C128" s="1" t="str">
        <f aca="false">IFERROR(__xludf.dummyfunction("""COMPUTED_VALUE"""),"Cotizaciones Previsionales")</f>
        <v>Cotizaciones Previsionales</v>
      </c>
      <c r="D128" s="1" t="str">
        <f aca="false">IFERROR(__xludf.dummyfunction("""COMPUTED_VALUE"""),"Imposiciones")</f>
        <v>Imposiciones</v>
      </c>
      <c r="E128" s="1" t="str">
        <f aca="false">IFERROR(__xludf.dummyfunction("""COMPUTED_VALUE"""),"Agosto")</f>
        <v>Agosto</v>
      </c>
      <c r="F128" s="1" t="n">
        <f aca="false">IFERROR(__xludf.dummyfunction("""COMPUTED_VALUE"""),2024)</f>
        <v>2024</v>
      </c>
    </row>
    <row r="129" customFormat="false" ht="15.75" hidden="false" customHeight="false" outlineLevel="0" collapsed="false">
      <c r="A129" s="2" t="str">
        <f aca="false">IFERROR(__xludf.dummyfunction("""COMPUTED_VALUE"""),"31/08/2024")</f>
        <v>31/08/2024</v>
      </c>
      <c r="B129" s="2" t="n">
        <f aca="false">IFERROR(__xludf.dummyfunction("""COMPUTED_VALUE"""),205000)</f>
        <v>205000</v>
      </c>
      <c r="C129" s="1" t="str">
        <f aca="false">IFERROR(__xludf.dummyfunction("""COMPUTED_VALUE"""),"Anticipos")</f>
        <v>Anticipos</v>
      </c>
      <c r="D129" s="1" t="str">
        <f aca="false">IFERROR(__xludf.dummyfunction("""COMPUTED_VALUE"""),"Remuneraciones")</f>
        <v>Remuneraciones</v>
      </c>
      <c r="E129" s="1" t="str">
        <f aca="false">IFERROR(__xludf.dummyfunction("""COMPUTED_VALUE"""),"Agosto")</f>
        <v>Agosto</v>
      </c>
      <c r="F129" s="1" t="n">
        <f aca="false">IFERROR(__xludf.dummyfunction("""COMPUTED_VALUE"""),2024)</f>
        <v>2024</v>
      </c>
    </row>
    <row r="130" customFormat="false" ht="15.75" hidden="false" customHeight="false" outlineLevel="0" collapsed="false">
      <c r="A130" s="2" t="str">
        <f aca="false">IFERROR(__xludf.dummyfunction("""COMPUTED_VALUE"""),"31/08/2024")</f>
        <v>31/08/2024</v>
      </c>
      <c r="B130" s="2" t="n">
        <f aca="false">IFERROR(__xludf.dummyfunction("""COMPUTED_VALUE"""),73780)</f>
        <v>73780</v>
      </c>
      <c r="C130" s="1" t="str">
        <f aca="false">IFERROR(__xludf.dummyfunction("""COMPUTED_VALUE"""),"Mantenimientos")</f>
        <v>Mantenimientos</v>
      </c>
      <c r="D130" s="1" t="str">
        <f aca="false">IFERROR(__xludf.dummyfunction("""COMPUTED_VALUE"""),"HidroPack")</f>
        <v>HidroPack</v>
      </c>
      <c r="E130" s="1" t="str">
        <f aca="false">IFERROR(__xludf.dummyfunction("""COMPUTED_VALUE"""),"Agosto")</f>
        <v>Agosto</v>
      </c>
      <c r="F130" s="1" t="n">
        <f aca="false">IFERROR(__xludf.dummyfunction("""COMPUTED_VALUE"""),2024)</f>
        <v>2024</v>
      </c>
    </row>
    <row r="131" customFormat="false" ht="15.75" hidden="false" customHeight="false" outlineLevel="0" collapsed="false">
      <c r="A131" s="2" t="str">
        <f aca="false">IFERROR(__xludf.dummyfunction("""COMPUTED_VALUE"""),"31/08/2024")</f>
        <v>31/08/2024</v>
      </c>
      <c r="B131" s="2" t="n">
        <f aca="false">IFERROR(__xludf.dummyfunction("""COMPUTED_VALUE"""),1247995)</f>
        <v>1247995</v>
      </c>
      <c r="C131" s="1" t="str">
        <f aca="false">IFERROR(__xludf.dummyfunction("""COMPUTED_VALUE"""),"Sueldos")</f>
        <v>Sueldos</v>
      </c>
      <c r="D131" s="1" t="str">
        <f aca="false">IFERROR(__xludf.dummyfunction("""COMPUTED_VALUE"""),"Remuneraciones")</f>
        <v>Remuneraciones</v>
      </c>
      <c r="E131" s="1" t="str">
        <f aca="false">IFERROR(__xludf.dummyfunction("""COMPUTED_VALUE"""),"Agosto")</f>
        <v>Agosto</v>
      </c>
      <c r="F131" s="1" t="n">
        <f aca="false">IFERROR(__xludf.dummyfunction("""COMPUTED_VALUE"""),2024)</f>
        <v>2024</v>
      </c>
    </row>
    <row r="132" customFormat="false" ht="15.75" hidden="false" customHeight="false" outlineLevel="0" collapsed="false">
      <c r="A132" s="1" t="str">
        <f aca="false">IFERROR(__xludf.dummyfunction("""COMPUTED_VALUE"""),"30/09/2024")</f>
        <v>30/09/2024</v>
      </c>
      <c r="B132" s="2" t="n">
        <f aca="false">IFERROR(__xludf.dummyfunction("""COMPUTED_VALUE"""),104679)</f>
        <v>104679</v>
      </c>
      <c r="C132" s="1" t="str">
        <f aca="false">IFERROR(__xludf.dummyfunction("""COMPUTED_VALUE"""),"Útiles de Aseo")</f>
        <v>Útiles de Aseo</v>
      </c>
      <c r="D132" s="1" t="str">
        <f aca="false">IFERROR(__xludf.dummyfunction("""COMPUTED_VALUE"""),"Útiles de Aseo")</f>
        <v>Útiles de Aseo</v>
      </c>
      <c r="E132" s="1" t="str">
        <f aca="false">IFERROR(__xludf.dummyfunction("""COMPUTED_VALUE"""),"Septiembre")</f>
        <v>Septiembre</v>
      </c>
      <c r="F132" s="1" t="n">
        <f aca="false">IFERROR(__xludf.dummyfunction("""COMPUTED_VALUE"""),2024)</f>
        <v>2024</v>
      </c>
    </row>
    <row r="133" customFormat="false" ht="15.75" hidden="false" customHeight="false" outlineLevel="0" collapsed="false">
      <c r="A133" s="1" t="str">
        <f aca="false">IFERROR(__xludf.dummyfunction("""COMPUTED_VALUE"""),"30/09/2024")</f>
        <v>30/09/2024</v>
      </c>
      <c r="B133" s="2" t="n">
        <f aca="false">IFERROR(__xludf.dummyfunction("""COMPUTED_VALUE"""),100681)</f>
        <v>100681</v>
      </c>
      <c r="C133" s="1" t="str">
        <f aca="false">IFERROR(__xludf.dummyfunction("""COMPUTED_VALUE"""),"Servicios Básicos")</f>
        <v>Servicios Básicos</v>
      </c>
      <c r="D133" s="1" t="str">
        <f aca="false">IFERROR(__xludf.dummyfunction("""COMPUTED_VALUE"""),"Servicios Básicos")</f>
        <v>Servicios Básicos</v>
      </c>
      <c r="E133" s="1" t="str">
        <f aca="false">IFERROR(__xludf.dummyfunction("""COMPUTED_VALUE"""),"Septiembre")</f>
        <v>Septiembre</v>
      </c>
      <c r="F133" s="1" t="n">
        <f aca="false">IFERROR(__xludf.dummyfunction("""COMPUTED_VALUE"""),2024)</f>
        <v>2024</v>
      </c>
    </row>
    <row r="134" customFormat="false" ht="15.75" hidden="false" customHeight="false" outlineLevel="0" collapsed="false">
      <c r="A134" s="1" t="str">
        <f aca="false">IFERROR(__xludf.dummyfunction("""COMPUTED_VALUE"""),"30/09/2024")</f>
        <v>30/09/2024</v>
      </c>
      <c r="B134" s="2" t="n">
        <f aca="false">IFERROR(__xludf.dummyfunction("""COMPUTED_VALUE"""),58667)</f>
        <v>58667</v>
      </c>
      <c r="C134" s="1" t="str">
        <f aca="false">IFERROR(__xludf.dummyfunction("""COMPUTED_VALUE"""),"Finiquito")</f>
        <v>Finiquito</v>
      </c>
      <c r="D134" s="1" t="str">
        <f aca="false">IFERROR(__xludf.dummyfunction("""COMPUTED_VALUE"""),"Trámites")</f>
        <v>Trámites</v>
      </c>
      <c r="E134" s="1" t="str">
        <f aca="false">IFERROR(__xludf.dummyfunction("""COMPUTED_VALUE"""),"Septiembre")</f>
        <v>Septiembre</v>
      </c>
      <c r="F134" s="1" t="n">
        <f aca="false">IFERROR(__xludf.dummyfunction("""COMPUTED_VALUE"""),2024)</f>
        <v>2024</v>
      </c>
    </row>
    <row r="135" customFormat="false" ht="15.75" hidden="false" customHeight="false" outlineLevel="0" collapsed="false">
      <c r="A135" s="1" t="str">
        <f aca="false">IFERROR(__xludf.dummyfunction("""COMPUTED_VALUE"""),"30/09/2024")</f>
        <v>30/09/2024</v>
      </c>
      <c r="B135" s="2" t="n">
        <f aca="false">IFERROR(__xludf.dummyfunction("""COMPUTED_VALUE"""),122610)</f>
        <v>122610</v>
      </c>
      <c r="C135" s="1" t="str">
        <f aca="false">IFERROR(__xludf.dummyfunction("""COMPUTED_VALUE"""),"Fiesta 18 Septiembre")</f>
        <v>Fiesta 18 Septiembre</v>
      </c>
      <c r="D135" s="1" t="str">
        <f aca="false">IFERROR(__xludf.dummyfunction("""COMPUTED_VALUE"""),"Aguinaldos")</f>
        <v>Aguinaldos</v>
      </c>
      <c r="E135" s="1" t="str">
        <f aca="false">IFERROR(__xludf.dummyfunction("""COMPUTED_VALUE"""),"Septiembre")</f>
        <v>Septiembre</v>
      </c>
      <c r="F135" s="1" t="n">
        <f aca="false">IFERROR(__xludf.dummyfunction("""COMPUTED_VALUE"""),2024)</f>
        <v>2024</v>
      </c>
    </row>
    <row r="136" customFormat="false" ht="15.75" hidden="false" customHeight="false" outlineLevel="0" collapsed="false">
      <c r="A136" s="1" t="str">
        <f aca="false">IFERROR(__xludf.dummyfunction("""COMPUTED_VALUE"""),"30/09/2024")</f>
        <v>30/09/2024</v>
      </c>
      <c r="B136" s="2" t="n">
        <f aca="false">IFERROR(__xludf.dummyfunction("""COMPUTED_VALUE"""),404517)</f>
        <v>404517</v>
      </c>
      <c r="C136" s="1" t="str">
        <f aca="false">IFERROR(__xludf.dummyfunction("""COMPUTED_VALUE"""),"Cotizaciones Previsionales")</f>
        <v>Cotizaciones Previsionales</v>
      </c>
      <c r="D136" s="1" t="str">
        <f aca="false">IFERROR(__xludf.dummyfunction("""COMPUTED_VALUE"""),"Imposiciones")</f>
        <v>Imposiciones</v>
      </c>
      <c r="E136" s="1" t="str">
        <f aca="false">IFERROR(__xludf.dummyfunction("""COMPUTED_VALUE"""),"Septiembre")</f>
        <v>Septiembre</v>
      </c>
      <c r="F136" s="1" t="n">
        <f aca="false">IFERROR(__xludf.dummyfunction("""COMPUTED_VALUE"""),2024)</f>
        <v>2024</v>
      </c>
    </row>
    <row r="137" customFormat="false" ht="15.75" hidden="false" customHeight="false" outlineLevel="0" collapsed="false">
      <c r="A137" s="1" t="str">
        <f aca="false">IFERROR(__xludf.dummyfunction("""COMPUTED_VALUE"""),"30/09/2024")</f>
        <v>30/09/2024</v>
      </c>
      <c r="B137" s="2" t="n">
        <f aca="false">IFERROR(__xludf.dummyfunction("""COMPUTED_VALUE"""),250000)</f>
        <v>250000</v>
      </c>
      <c r="C137" s="1" t="str">
        <f aca="false">IFERROR(__xludf.dummyfunction("""COMPUTED_VALUE"""),"Anticipos")</f>
        <v>Anticipos</v>
      </c>
      <c r="D137" s="1" t="str">
        <f aca="false">IFERROR(__xludf.dummyfunction("""COMPUTED_VALUE"""),"Remuneraciones")</f>
        <v>Remuneraciones</v>
      </c>
      <c r="E137" s="1" t="str">
        <f aca="false">IFERROR(__xludf.dummyfunction("""COMPUTED_VALUE"""),"Septiembre")</f>
        <v>Septiembre</v>
      </c>
      <c r="F137" s="1" t="n">
        <f aca="false">IFERROR(__xludf.dummyfunction("""COMPUTED_VALUE"""),2024)</f>
        <v>2024</v>
      </c>
    </row>
    <row r="138" customFormat="false" ht="15.75" hidden="false" customHeight="false" outlineLevel="0" collapsed="false">
      <c r="A138" s="1" t="str">
        <f aca="false">IFERROR(__xludf.dummyfunction("""COMPUTED_VALUE"""),"30/09/2024")</f>
        <v>30/09/2024</v>
      </c>
      <c r="B138" s="2" t="n">
        <f aca="false">IFERROR(__xludf.dummyfunction("""COMPUTED_VALUE"""),73780)</f>
        <v>73780</v>
      </c>
      <c r="C138" s="1" t="str">
        <f aca="false">IFERROR(__xludf.dummyfunction("""COMPUTED_VALUE"""),"Mantenimientos")</f>
        <v>Mantenimientos</v>
      </c>
      <c r="D138" s="1" t="str">
        <f aca="false">IFERROR(__xludf.dummyfunction("""COMPUTED_VALUE"""),"HidroPack")</f>
        <v>HidroPack</v>
      </c>
      <c r="E138" s="1" t="str">
        <f aca="false">IFERROR(__xludf.dummyfunction("""COMPUTED_VALUE"""),"Septiembre")</f>
        <v>Septiembre</v>
      </c>
      <c r="F138" s="1" t="n">
        <f aca="false">IFERROR(__xludf.dummyfunction("""COMPUTED_VALUE"""),2024)</f>
        <v>2024</v>
      </c>
    </row>
    <row r="139" customFormat="false" ht="15.75" hidden="false" customHeight="false" outlineLevel="0" collapsed="false">
      <c r="A139" s="1" t="str">
        <f aca="false">IFERROR(__xludf.dummyfunction("""COMPUTED_VALUE"""),"30/09/2024")</f>
        <v>30/09/2024</v>
      </c>
      <c r="B139" s="2" t="n">
        <f aca="false">IFERROR(__xludf.dummyfunction("""COMPUTED_VALUE"""),210000)</f>
        <v>210000</v>
      </c>
      <c r="C139" s="1" t="str">
        <f aca="false">IFERROR(__xludf.dummyfunction("""COMPUTED_VALUE"""),"Sueldos")</f>
        <v>Sueldos</v>
      </c>
      <c r="D139" s="1" t="str">
        <f aca="false">IFERROR(__xludf.dummyfunction("""COMPUTED_VALUE"""),"Remuneraciones")</f>
        <v>Remuneraciones</v>
      </c>
      <c r="E139" s="1" t="str">
        <f aca="false">IFERROR(__xludf.dummyfunction("""COMPUTED_VALUE"""),"Septiembre")</f>
        <v>Septiembre</v>
      </c>
      <c r="F139" s="1" t="n">
        <f aca="false">IFERROR(__xludf.dummyfunction("""COMPUTED_VALUE"""),2024)</f>
        <v>2024</v>
      </c>
    </row>
    <row r="140" customFormat="false" ht="15.75" hidden="false" customHeight="false" outlineLevel="0" collapsed="false">
      <c r="A140" s="1" t="str">
        <f aca="false">IFERROR(__xludf.dummyfunction("""COMPUTED_VALUE"""),"31/10/2024")</f>
        <v>31/10/2024</v>
      </c>
      <c r="B140" s="2" t="n">
        <f aca="false">IFERROR(__xludf.dummyfunction("""COMPUTED_VALUE"""),88930)</f>
        <v>88930</v>
      </c>
      <c r="C140" s="1" t="str">
        <f aca="false">IFERROR(__xludf.dummyfunction("""COMPUTED_VALUE"""),"Útiles de Aseo")</f>
        <v>Útiles de Aseo</v>
      </c>
      <c r="D140" s="1" t="str">
        <f aca="false">IFERROR(__xludf.dummyfunction("""COMPUTED_VALUE"""),"Útiles de Aseo")</f>
        <v>Útiles de Aseo</v>
      </c>
      <c r="E140" s="1" t="str">
        <f aca="false">IFERROR(__xludf.dummyfunction("""COMPUTED_VALUE"""),"Octubre")</f>
        <v>Octubre</v>
      </c>
      <c r="F140" s="1" t="n">
        <f aca="false">IFERROR(__xludf.dummyfunction("""COMPUTED_VALUE"""),2024)</f>
        <v>2024</v>
      </c>
    </row>
    <row r="141" customFormat="false" ht="15.75" hidden="false" customHeight="false" outlineLevel="0" collapsed="false">
      <c r="A141" s="1" t="str">
        <f aca="false">IFERROR(__xludf.dummyfunction("""COMPUTED_VALUE"""),"31/10/2024")</f>
        <v>31/10/2024</v>
      </c>
      <c r="B141" s="2" t="n">
        <f aca="false">IFERROR(__xludf.dummyfunction("""COMPUTED_VALUE"""),112232)</f>
        <v>112232</v>
      </c>
      <c r="C141" s="1" t="str">
        <f aca="false">IFERROR(__xludf.dummyfunction("""COMPUTED_VALUE"""),"Servicios Básicos")</f>
        <v>Servicios Básicos</v>
      </c>
      <c r="D141" s="1" t="str">
        <f aca="false">IFERROR(__xludf.dummyfunction("""COMPUTED_VALUE"""),"Servicios Básicos")</f>
        <v>Servicios Básicos</v>
      </c>
      <c r="E141" s="1" t="str">
        <f aca="false">IFERROR(__xludf.dummyfunction("""COMPUTED_VALUE"""),"Octubre")</f>
        <v>Octubre</v>
      </c>
      <c r="F141" s="1" t="n">
        <f aca="false">IFERROR(__xludf.dummyfunction("""COMPUTED_VALUE"""),2024)</f>
        <v>2024</v>
      </c>
    </row>
    <row r="142" customFormat="false" ht="15.75" hidden="false" customHeight="false" outlineLevel="0" collapsed="false">
      <c r="A142" s="1" t="str">
        <f aca="false">IFERROR(__xludf.dummyfunction("""COMPUTED_VALUE"""),"31/10/2024")</f>
        <v>31/10/2024</v>
      </c>
      <c r="B142" s="2" t="n">
        <f aca="false">IFERROR(__xludf.dummyfunction("""COMPUTED_VALUE"""),250000)</f>
        <v>250000</v>
      </c>
      <c r="C142" s="1" t="str">
        <f aca="false">IFERROR(__xludf.dummyfunction("""COMPUTED_VALUE"""),"Pago Administración ")</f>
        <v>Pago Administración </v>
      </c>
      <c r="D142" s="1" t="str">
        <f aca="false">IFERROR(__xludf.dummyfunction("""COMPUTED_VALUE"""),"Remuneraciones")</f>
        <v>Remuneraciones</v>
      </c>
      <c r="E142" s="1" t="str">
        <f aca="false">IFERROR(__xludf.dummyfunction("""COMPUTED_VALUE"""),"Octubre")</f>
        <v>Octubre</v>
      </c>
      <c r="F142" s="1" t="n">
        <f aca="false">IFERROR(__xludf.dummyfunction("""COMPUTED_VALUE"""),2024)</f>
        <v>2024</v>
      </c>
    </row>
    <row r="143" customFormat="false" ht="15.75" hidden="false" customHeight="false" outlineLevel="0" collapsed="false">
      <c r="A143" s="1" t="str">
        <f aca="false">IFERROR(__xludf.dummyfunction("""COMPUTED_VALUE"""),"31/10/2024")</f>
        <v>31/10/2024</v>
      </c>
      <c r="B143" s="2" t="n">
        <f aca="false">IFERROR(__xludf.dummyfunction("""COMPUTED_VALUE"""),468092)</f>
        <v>468092</v>
      </c>
      <c r="C143" s="1" t="str">
        <f aca="false">IFERROR(__xludf.dummyfunction("""COMPUTED_VALUE"""),"Cotizaciones Previsionales")</f>
        <v>Cotizaciones Previsionales</v>
      </c>
      <c r="D143" s="1" t="str">
        <f aca="false">IFERROR(__xludf.dummyfunction("""COMPUTED_VALUE"""),"Imposiciones")</f>
        <v>Imposiciones</v>
      </c>
      <c r="E143" s="1" t="str">
        <f aca="false">IFERROR(__xludf.dummyfunction("""COMPUTED_VALUE"""),"Octubre")</f>
        <v>Octubre</v>
      </c>
      <c r="F143" s="1" t="n">
        <f aca="false">IFERROR(__xludf.dummyfunction("""COMPUTED_VALUE"""),2024)</f>
        <v>2024</v>
      </c>
    </row>
    <row r="144" customFormat="false" ht="15.75" hidden="false" customHeight="false" outlineLevel="0" collapsed="false">
      <c r="A144" s="1" t="str">
        <f aca="false">IFERROR(__xludf.dummyfunction("""COMPUTED_VALUE"""),"31/10/2024")</f>
        <v>31/10/2024</v>
      </c>
      <c r="B144" s="2" t="n">
        <f aca="false">IFERROR(__xludf.dummyfunction("""COMPUTED_VALUE"""),265000)</f>
        <v>265000</v>
      </c>
      <c r="C144" s="1" t="str">
        <f aca="false">IFERROR(__xludf.dummyfunction("""COMPUTED_VALUE"""),"Anticipos")</f>
        <v>Anticipos</v>
      </c>
      <c r="D144" s="1" t="str">
        <f aca="false">IFERROR(__xludf.dummyfunction("""COMPUTED_VALUE"""),"Remuneraciones")</f>
        <v>Remuneraciones</v>
      </c>
      <c r="E144" s="1" t="str">
        <f aca="false">IFERROR(__xludf.dummyfunction("""COMPUTED_VALUE"""),"Octubre")</f>
        <v>Octubre</v>
      </c>
      <c r="F144" s="1" t="n">
        <f aca="false">IFERROR(__xludf.dummyfunction("""COMPUTED_VALUE"""),2024)</f>
        <v>2024</v>
      </c>
    </row>
    <row r="145" customFormat="false" ht="15.75" hidden="false" customHeight="false" outlineLevel="0" collapsed="false">
      <c r="A145" s="1" t="str">
        <f aca="false">IFERROR(__xludf.dummyfunction("""COMPUTED_VALUE"""),"31/10/2024")</f>
        <v>31/10/2024</v>
      </c>
      <c r="B145" s="2" t="n">
        <f aca="false">IFERROR(__xludf.dummyfunction("""COMPUTED_VALUE"""),73780)</f>
        <v>73780</v>
      </c>
      <c r="C145" s="1" t="str">
        <f aca="false">IFERROR(__xludf.dummyfunction("""COMPUTED_VALUE"""),"Mantenimientos")</f>
        <v>Mantenimientos</v>
      </c>
      <c r="D145" s="1" t="str">
        <f aca="false">IFERROR(__xludf.dummyfunction("""COMPUTED_VALUE"""),"HidroPack")</f>
        <v>HidroPack</v>
      </c>
      <c r="E145" s="1" t="str">
        <f aca="false">IFERROR(__xludf.dummyfunction("""COMPUTED_VALUE"""),"Octubre")</f>
        <v>Octubre</v>
      </c>
      <c r="F145" s="1" t="n">
        <f aca="false">IFERROR(__xludf.dummyfunction("""COMPUTED_VALUE"""),2024)</f>
        <v>2024</v>
      </c>
    </row>
    <row r="146" customFormat="false" ht="15.75" hidden="false" customHeight="false" outlineLevel="0" collapsed="false">
      <c r="A146" s="1" t="str">
        <f aca="false">IFERROR(__xludf.dummyfunction("""COMPUTED_VALUE"""),"31/10/2024")</f>
        <v>31/10/2024</v>
      </c>
      <c r="B146" s="2" t="n">
        <f aca="false">IFERROR(__xludf.dummyfunction("""COMPUTED_VALUE"""),1575535)</f>
        <v>1575535</v>
      </c>
      <c r="C146" s="1" t="str">
        <f aca="false">IFERROR(__xludf.dummyfunction("""COMPUTED_VALUE"""),"Sueldos")</f>
        <v>Sueldos</v>
      </c>
      <c r="D146" s="1" t="str">
        <f aca="false">IFERROR(__xludf.dummyfunction("""COMPUTED_VALUE"""),"Remuneraciones")</f>
        <v>Remuneraciones</v>
      </c>
      <c r="E146" s="1" t="str">
        <f aca="false">IFERROR(__xludf.dummyfunction("""COMPUTED_VALUE"""),"Octubre")</f>
        <v>Octubre</v>
      </c>
      <c r="F146" s="1" t="n">
        <f aca="false">IFERROR(__xludf.dummyfunction("""COMPUTED_VALUE"""),2024)</f>
        <v>2024</v>
      </c>
    </row>
    <row r="147" customFormat="false" ht="15.75" hidden="false" customHeight="false" outlineLevel="0" collapsed="false">
      <c r="A147" s="1" t="str">
        <f aca="false">IFERROR(__xludf.dummyfunction("""COMPUTED_VALUE"""),"30/11/2024")</f>
        <v>30/11/2024</v>
      </c>
      <c r="B147" s="2" t="n">
        <f aca="false">IFERROR(__xludf.dummyfunction("""COMPUTED_VALUE"""),78020)</f>
        <v>78020</v>
      </c>
      <c r="C147" s="1" t="str">
        <f aca="false">IFERROR(__xludf.dummyfunction("""COMPUTED_VALUE"""),"Útiles de Aseo")</f>
        <v>Útiles de Aseo</v>
      </c>
      <c r="D147" s="1" t="str">
        <f aca="false">IFERROR(__xludf.dummyfunction("""COMPUTED_VALUE"""),"Útiles de Aseo")</f>
        <v>Útiles de Aseo</v>
      </c>
      <c r="E147" s="1" t="str">
        <f aca="false">IFERROR(__xludf.dummyfunction("""COMPUTED_VALUE"""),"Noviembre")</f>
        <v>Noviembre</v>
      </c>
      <c r="F147" s="1" t="n">
        <f aca="false">IFERROR(__xludf.dummyfunction("""COMPUTED_VALUE"""),2024)</f>
        <v>2024</v>
      </c>
    </row>
    <row r="148" customFormat="false" ht="15.75" hidden="false" customHeight="false" outlineLevel="0" collapsed="false">
      <c r="A148" s="1" t="str">
        <f aca="false">IFERROR(__xludf.dummyfunction("""COMPUTED_VALUE"""),"30/11/2024")</f>
        <v>30/11/2024</v>
      </c>
      <c r="B148" s="2" t="n">
        <f aca="false">IFERROR(__xludf.dummyfunction("""COMPUTED_VALUE"""),72599)</f>
        <v>72599</v>
      </c>
      <c r="C148" s="1" t="str">
        <f aca="false">IFERROR(__xludf.dummyfunction("""COMPUTED_VALUE"""),"Servicios Básicos")</f>
        <v>Servicios Básicos</v>
      </c>
      <c r="D148" s="1" t="str">
        <f aca="false">IFERROR(__xludf.dummyfunction("""COMPUTED_VALUE"""),"Servicios Básicos")</f>
        <v>Servicios Básicos</v>
      </c>
      <c r="E148" s="1" t="str">
        <f aca="false">IFERROR(__xludf.dummyfunction("""COMPUTED_VALUE"""),"Noviembre")</f>
        <v>Noviembre</v>
      </c>
      <c r="F148" s="1" t="n">
        <f aca="false">IFERROR(__xludf.dummyfunction("""COMPUTED_VALUE"""),2024)</f>
        <v>2024</v>
      </c>
    </row>
    <row r="149" customFormat="false" ht="15.75" hidden="false" customHeight="false" outlineLevel="0" collapsed="false">
      <c r="A149" s="1" t="str">
        <f aca="false">IFERROR(__xludf.dummyfunction("""COMPUTED_VALUE"""),"30/11/2024")</f>
        <v>30/11/2024</v>
      </c>
      <c r="B149" s="2" t="n">
        <f aca="false">IFERROR(__xludf.dummyfunction("""COMPUTED_VALUE"""),500000)</f>
        <v>500000</v>
      </c>
      <c r="C149" s="1" t="str">
        <f aca="false">IFERROR(__xludf.dummyfunction("""COMPUTED_VALUE"""),"Pago Administración ")</f>
        <v>Pago Administración </v>
      </c>
      <c r="D149" s="1" t="str">
        <f aca="false">IFERROR(__xludf.dummyfunction("""COMPUTED_VALUE"""),"Remuneraciones")</f>
        <v>Remuneraciones</v>
      </c>
      <c r="E149" s="1" t="str">
        <f aca="false">IFERROR(__xludf.dummyfunction("""COMPUTED_VALUE"""),"Noviembre")</f>
        <v>Noviembre</v>
      </c>
      <c r="F149" s="1" t="n">
        <f aca="false">IFERROR(__xludf.dummyfunction("""COMPUTED_VALUE"""),2024)</f>
        <v>2024</v>
      </c>
    </row>
    <row r="150" customFormat="false" ht="15.75" hidden="false" customHeight="false" outlineLevel="0" collapsed="false">
      <c r="A150" s="1" t="str">
        <f aca="false">IFERROR(__xludf.dummyfunction("""COMPUTED_VALUE"""),"30/11/2024")</f>
        <v>30/11/2024</v>
      </c>
      <c r="B150" s="2" t="n">
        <f aca="false">IFERROR(__xludf.dummyfunction("""COMPUTED_VALUE"""),0)</f>
        <v>0</v>
      </c>
      <c r="C150" s="1" t="str">
        <f aca="false">IFERROR(__xludf.dummyfunction("""COMPUTED_VALUE"""),"Aguinaldos")</f>
        <v>Aguinaldos</v>
      </c>
      <c r="D150" s="1" t="str">
        <f aca="false">IFERROR(__xludf.dummyfunction("""COMPUTED_VALUE"""),"Aguinaldos")</f>
        <v>Aguinaldos</v>
      </c>
      <c r="E150" s="1" t="str">
        <f aca="false">IFERROR(__xludf.dummyfunction("""COMPUTED_VALUE"""),"Noviembre")</f>
        <v>Noviembre</v>
      </c>
      <c r="F150" s="1" t="n">
        <f aca="false">IFERROR(__xludf.dummyfunction("""COMPUTED_VALUE"""),2024)</f>
        <v>2024</v>
      </c>
    </row>
    <row r="151" customFormat="false" ht="15.75" hidden="false" customHeight="false" outlineLevel="0" collapsed="false">
      <c r="A151" s="1" t="str">
        <f aca="false">IFERROR(__xludf.dummyfunction("""COMPUTED_VALUE"""),"30/11/2024")</f>
        <v>30/11/2024</v>
      </c>
      <c r="B151" s="2" t="n">
        <f aca="false">IFERROR(__xludf.dummyfunction("""COMPUTED_VALUE"""),448768)</f>
        <v>448768</v>
      </c>
      <c r="C151" s="1" t="str">
        <f aca="false">IFERROR(__xludf.dummyfunction("""COMPUTED_VALUE"""),"Cotizaciones Previsionales")</f>
        <v>Cotizaciones Previsionales</v>
      </c>
      <c r="D151" s="1" t="str">
        <f aca="false">IFERROR(__xludf.dummyfunction("""COMPUTED_VALUE"""),"Imposiciones")</f>
        <v>Imposiciones</v>
      </c>
      <c r="E151" s="1" t="str">
        <f aca="false">IFERROR(__xludf.dummyfunction("""COMPUTED_VALUE"""),"Noviembre")</f>
        <v>Noviembre</v>
      </c>
      <c r="F151" s="1" t="n">
        <f aca="false">IFERROR(__xludf.dummyfunction("""COMPUTED_VALUE"""),2024)</f>
        <v>2024</v>
      </c>
    </row>
    <row r="152" customFormat="false" ht="15.75" hidden="false" customHeight="false" outlineLevel="0" collapsed="false">
      <c r="A152" s="1" t="str">
        <f aca="false">IFERROR(__xludf.dummyfunction("""COMPUTED_VALUE"""),"30/11/2024")</f>
        <v>30/11/2024</v>
      </c>
      <c r="B152" s="2" t="n">
        <f aca="false">IFERROR(__xludf.dummyfunction("""COMPUTED_VALUE"""),194000)</f>
        <v>194000</v>
      </c>
      <c r="C152" s="1" t="str">
        <f aca="false">IFERROR(__xludf.dummyfunction("""COMPUTED_VALUE"""),"Anticipos")</f>
        <v>Anticipos</v>
      </c>
      <c r="D152" s="1" t="str">
        <f aca="false">IFERROR(__xludf.dummyfunction("""COMPUTED_VALUE"""),"Remuneraciones")</f>
        <v>Remuneraciones</v>
      </c>
      <c r="E152" s="1" t="str">
        <f aca="false">IFERROR(__xludf.dummyfunction("""COMPUTED_VALUE"""),"Noviembre")</f>
        <v>Noviembre</v>
      </c>
      <c r="F152" s="1" t="n">
        <f aca="false">IFERROR(__xludf.dummyfunction("""COMPUTED_VALUE"""),2024)</f>
        <v>2024</v>
      </c>
    </row>
    <row r="153" customFormat="false" ht="15.75" hidden="false" customHeight="false" outlineLevel="0" collapsed="false">
      <c r="A153" s="1" t="str">
        <f aca="false">IFERROR(__xludf.dummyfunction("""COMPUTED_VALUE"""),"30/11/2024")</f>
        <v>30/11/2024</v>
      </c>
      <c r="B153" s="2" t="n">
        <f aca="false">IFERROR(__xludf.dummyfunction("""COMPUTED_VALUE"""),73780)</f>
        <v>73780</v>
      </c>
      <c r="C153" s="1" t="str">
        <f aca="false">IFERROR(__xludf.dummyfunction("""COMPUTED_VALUE"""),"Mantenimientos")</f>
        <v>Mantenimientos</v>
      </c>
      <c r="D153" s="1" t="str">
        <f aca="false">IFERROR(__xludf.dummyfunction("""COMPUTED_VALUE"""),"HidroPack")</f>
        <v>HidroPack</v>
      </c>
      <c r="E153" s="1" t="str">
        <f aca="false">IFERROR(__xludf.dummyfunction("""COMPUTED_VALUE"""),"Noviembre")</f>
        <v>Noviembre</v>
      </c>
      <c r="F153" s="1" t="n">
        <f aca="false">IFERROR(__xludf.dummyfunction("""COMPUTED_VALUE"""),2024)</f>
        <v>2024</v>
      </c>
    </row>
    <row r="154" customFormat="false" ht="15.75" hidden="false" customHeight="false" outlineLevel="0" collapsed="false">
      <c r="A154" s="1" t="str">
        <f aca="false">IFERROR(__xludf.dummyfunction("""COMPUTED_VALUE"""),"30/11/2024")</f>
        <v>30/11/2024</v>
      </c>
      <c r="B154" s="2" t="n">
        <f aca="false">IFERROR(__xludf.dummyfunction("""COMPUTED_VALUE"""),2630046)</f>
        <v>2630046</v>
      </c>
      <c r="C154" s="1" t="str">
        <f aca="false">IFERROR(__xludf.dummyfunction("""COMPUTED_VALUE"""),"Sueldos")</f>
        <v>Sueldos</v>
      </c>
      <c r="D154" s="1" t="str">
        <f aca="false">IFERROR(__xludf.dummyfunction("""COMPUTED_VALUE"""),"Remuneraciones")</f>
        <v>Remuneraciones</v>
      </c>
      <c r="E154" s="1" t="str">
        <f aca="false">IFERROR(__xludf.dummyfunction("""COMPUTED_VALUE"""),"Noviembre")</f>
        <v>Noviembre</v>
      </c>
      <c r="F154" s="1" t="n">
        <f aca="false">IFERROR(__xludf.dummyfunction("""COMPUTED_VALUE"""),2024)</f>
        <v>2024</v>
      </c>
    </row>
    <row r="155" customFormat="false" ht="15.75" hidden="false" customHeight="false" outlineLevel="0" collapsed="false">
      <c r="A155" s="1" t="str">
        <f aca="false">IFERROR(__xludf.dummyfunction("""COMPUTED_VALUE"""),"31/12/2024")</f>
        <v>31/12/2024</v>
      </c>
      <c r="B155" s="2" t="n">
        <f aca="false">IFERROR(__xludf.dummyfunction("""COMPUTED_VALUE"""),90000)</f>
        <v>90000</v>
      </c>
      <c r="C155" s="1" t="str">
        <f aca="false">IFERROR(__xludf.dummyfunction("""COMPUTED_VALUE"""),"Útiles de Aseo")</f>
        <v>Útiles de Aseo</v>
      </c>
      <c r="D155" s="1" t="str">
        <f aca="false">IFERROR(__xludf.dummyfunction("""COMPUTED_VALUE"""),"Útiles de Aseo")</f>
        <v>Útiles de Aseo</v>
      </c>
      <c r="E155" s="1" t="str">
        <f aca="false">IFERROR(__xludf.dummyfunction("""COMPUTED_VALUE"""),"Diciembre")</f>
        <v>Diciembre</v>
      </c>
      <c r="F155" s="1" t="n">
        <f aca="false">IFERROR(__xludf.dummyfunction("""COMPUTED_VALUE"""),2024)</f>
        <v>2024</v>
      </c>
    </row>
    <row r="156" customFormat="false" ht="15.75" hidden="false" customHeight="false" outlineLevel="0" collapsed="false">
      <c r="A156" s="1" t="str">
        <f aca="false">IFERROR(__xludf.dummyfunction("""COMPUTED_VALUE"""),"31/12/2024")</f>
        <v>31/12/2024</v>
      </c>
      <c r="B156" s="2" t="n">
        <f aca="false">IFERROR(__xludf.dummyfunction("""COMPUTED_VALUE"""),85000)</f>
        <v>85000</v>
      </c>
      <c r="C156" s="1" t="str">
        <f aca="false">IFERROR(__xludf.dummyfunction("""COMPUTED_VALUE"""),"Servicios Básicos")</f>
        <v>Servicios Básicos</v>
      </c>
      <c r="D156" s="1" t="str">
        <f aca="false">IFERROR(__xludf.dummyfunction("""COMPUTED_VALUE"""),"Servicios Básicos")</f>
        <v>Servicios Básicos</v>
      </c>
      <c r="E156" s="1" t="str">
        <f aca="false">IFERROR(__xludf.dummyfunction("""COMPUTED_VALUE"""),"Diciembre")</f>
        <v>Diciembre</v>
      </c>
      <c r="F156" s="1" t="n">
        <f aca="false">IFERROR(__xludf.dummyfunction("""COMPUTED_VALUE"""),2024)</f>
        <v>2024</v>
      </c>
    </row>
    <row r="157" customFormat="false" ht="15.75" hidden="false" customHeight="false" outlineLevel="0" collapsed="false">
      <c r="A157" s="1" t="str">
        <f aca="false">IFERROR(__xludf.dummyfunction("""COMPUTED_VALUE"""),"31/12/2024")</f>
        <v>31/12/2024</v>
      </c>
      <c r="B157" s="2" t="n">
        <f aca="false">IFERROR(__xludf.dummyfunction("""COMPUTED_VALUE"""),24000)</f>
        <v>24000</v>
      </c>
      <c r="C157" s="1" t="str">
        <f aca="false">IFERROR(__xludf.dummyfunction("""COMPUTED_VALUE"""),"Notaria")</f>
        <v>Notaria</v>
      </c>
      <c r="D157" s="1" t="str">
        <f aca="false">IFERROR(__xludf.dummyfunction("""COMPUTED_VALUE"""),"Trámites")</f>
        <v>Trámites</v>
      </c>
      <c r="E157" s="1" t="str">
        <f aca="false">IFERROR(__xludf.dummyfunction("""COMPUTED_VALUE"""),"Diciembre")</f>
        <v>Diciembre</v>
      </c>
      <c r="F157" s="1" t="n">
        <f aca="false">IFERROR(__xludf.dummyfunction("""COMPUTED_VALUE"""),2024)</f>
        <v>2024</v>
      </c>
    </row>
    <row r="158" customFormat="false" ht="15.75" hidden="false" customHeight="false" outlineLevel="0" collapsed="false">
      <c r="A158" s="1" t="str">
        <f aca="false">IFERROR(__xludf.dummyfunction("""COMPUTED_VALUE"""),"31/12/2024")</f>
        <v>31/12/2024</v>
      </c>
      <c r="B158" s="2" t="n">
        <f aca="false">IFERROR(__xludf.dummyfunction("""COMPUTED_VALUE"""),250000)</f>
        <v>250000</v>
      </c>
      <c r="C158" s="1" t="str">
        <f aca="false">IFERROR(__xludf.dummyfunction("""COMPUTED_VALUE"""),"Pago Administración")</f>
        <v>Pago Administración</v>
      </c>
      <c r="D158" s="1" t="str">
        <f aca="false">IFERROR(__xludf.dummyfunction("""COMPUTED_VALUE"""),"Remuneraciones")</f>
        <v>Remuneraciones</v>
      </c>
      <c r="E158" s="1" t="str">
        <f aca="false">IFERROR(__xludf.dummyfunction("""COMPUTED_VALUE"""),"Diciembre")</f>
        <v>Diciembre</v>
      </c>
      <c r="F158" s="1" t="n">
        <f aca="false">IFERROR(__xludf.dummyfunction("""COMPUTED_VALUE"""),2024)</f>
        <v>2024</v>
      </c>
    </row>
    <row r="159" customFormat="false" ht="15.75" hidden="false" customHeight="false" outlineLevel="0" collapsed="false">
      <c r="A159" s="1" t="str">
        <f aca="false">IFERROR(__xludf.dummyfunction("""COMPUTED_VALUE"""),"31/12/2024")</f>
        <v>31/12/2024</v>
      </c>
      <c r="B159" s="2" t="n">
        <f aca="false">IFERROR(__xludf.dummyfunction("""COMPUTED_VALUE"""),333333)</f>
        <v>333333</v>
      </c>
      <c r="C159" s="1" t="str">
        <f aca="false">IFERROR(__xludf.dummyfunction("""COMPUTED_VALUE"""),"Cotizaciones Previsionales")</f>
        <v>Cotizaciones Previsionales</v>
      </c>
      <c r="D159" s="1" t="str">
        <f aca="false">IFERROR(__xludf.dummyfunction("""COMPUTED_VALUE"""),"Remuneraciones")</f>
        <v>Remuneraciones</v>
      </c>
      <c r="E159" s="1" t="str">
        <f aca="false">IFERROR(__xludf.dummyfunction("""COMPUTED_VALUE"""),"Diciembre")</f>
        <v>Diciembre</v>
      </c>
      <c r="F159" s="1" t="n">
        <f aca="false">IFERROR(__xludf.dummyfunction("""COMPUTED_VALUE"""),2024)</f>
        <v>2024</v>
      </c>
    </row>
    <row r="160" customFormat="false" ht="15.75" hidden="false" customHeight="false" outlineLevel="0" collapsed="false">
      <c r="A160" s="1" t="str">
        <f aca="false">IFERROR(__xludf.dummyfunction("""COMPUTED_VALUE"""),"31/12/2024")</f>
        <v>31/12/2024</v>
      </c>
      <c r="B160" s="2" t="n">
        <f aca="false">IFERROR(__xludf.dummyfunction("""COMPUTED_VALUE"""),128000)</f>
        <v>128000</v>
      </c>
      <c r="C160" s="1" t="str">
        <f aca="false">IFERROR(__xludf.dummyfunction("""COMPUTED_VALUE"""),"Anticipos")</f>
        <v>Anticipos</v>
      </c>
      <c r="D160" s="1" t="str">
        <f aca="false">IFERROR(__xludf.dummyfunction("""COMPUTED_VALUE"""),"Remuneraciones")</f>
        <v>Remuneraciones</v>
      </c>
      <c r="E160" s="1" t="str">
        <f aca="false">IFERROR(__xludf.dummyfunction("""COMPUTED_VALUE"""),"Diciembre")</f>
        <v>Diciembre</v>
      </c>
      <c r="F160" s="1" t="n">
        <f aca="false">IFERROR(__xludf.dummyfunction("""COMPUTED_VALUE"""),2024)</f>
        <v>2024</v>
      </c>
    </row>
    <row r="161" customFormat="false" ht="15.75" hidden="false" customHeight="false" outlineLevel="0" collapsed="false">
      <c r="A161" s="1" t="str">
        <f aca="false">IFERROR(__xludf.dummyfunction("""COMPUTED_VALUE"""),"31/12/2024")</f>
        <v>31/12/2024</v>
      </c>
      <c r="B161" s="2" t="n">
        <f aca="false">IFERROR(__xludf.dummyfunction("""COMPUTED_VALUE"""),75000)</f>
        <v>75000</v>
      </c>
      <c r="C161" s="1" t="str">
        <f aca="false">IFERROR(__xludf.dummyfunction("""COMPUTED_VALUE"""),"Mantenimiento Hidropack")</f>
        <v>Mantenimiento Hidropack</v>
      </c>
      <c r="D161" s="1" t="str">
        <f aca="false">IFERROR(__xludf.dummyfunction("""COMPUTED_VALUE"""),"Mantenimientos")</f>
        <v>Mantenimientos</v>
      </c>
      <c r="E161" s="1" t="str">
        <f aca="false">IFERROR(__xludf.dummyfunction("""COMPUTED_VALUE"""),"Diciembre")</f>
        <v>Diciembre</v>
      </c>
      <c r="F161" s="1" t="n">
        <f aca="false">IFERROR(__xludf.dummyfunction("""COMPUTED_VALUE"""),2024)</f>
        <v>2024</v>
      </c>
    </row>
    <row r="162" customFormat="false" ht="15.75" hidden="false" customHeight="false" outlineLevel="0" collapsed="false">
      <c r="A162" s="1" t="str">
        <f aca="false">IFERROR(__xludf.dummyfunction("""COMPUTED_VALUE"""),"31/12/2024")</f>
        <v>31/12/2024</v>
      </c>
      <c r="B162" s="2" t="n">
        <f aca="false">IFERROR(__xludf.dummyfunction("""COMPUTED_VALUE"""),1444444)</f>
        <v>1444444</v>
      </c>
      <c r="C162" s="1" t="str">
        <f aca="false">IFERROR(__xludf.dummyfunction("""COMPUTED_VALUE"""),"Sueldos")</f>
        <v>Sueldos</v>
      </c>
      <c r="D162" s="1" t="str">
        <f aca="false">IFERROR(__xludf.dummyfunction("""COMPUTED_VALUE"""),"Remuneraciones")</f>
        <v>Remuneraciones</v>
      </c>
      <c r="E162" s="1" t="str">
        <f aca="false">IFERROR(__xludf.dummyfunction("""COMPUTED_VALUE"""),"Diciembre")</f>
        <v>Diciembre</v>
      </c>
      <c r="F162" s="1" t="n">
        <f aca="false">IFERROR(__xludf.dummyfunction("""COMPUTED_VALUE"""),2024)</f>
        <v>2024</v>
      </c>
    </row>
    <row r="163" customFormat="false" ht="15.75" hidden="false" customHeight="false" outlineLevel="0" collapsed="false">
      <c r="A163" s="2" t="str">
        <f aca="false">IFERROR(__xludf.dummyfunction("""COMPUTED_VALUE"""),"31/08/2023")</f>
        <v>31/08/2023</v>
      </c>
      <c r="B163" s="2" t="n">
        <f aca="false">IFERROR(__xludf.dummyfunction("""COMPUTED_VALUE"""),238650)</f>
        <v>238650</v>
      </c>
      <c r="C163" s="1" t="str">
        <f aca="false">IFERROR(__xludf.dummyfunction("""COMPUTED_VALUE"""),"Cotizaciones Previsionales")</f>
        <v>Cotizaciones Previsionales</v>
      </c>
      <c r="D163" s="1" t="str">
        <f aca="false">IFERROR(__xludf.dummyfunction("""COMPUTED_VALUE"""),"Imposiciones")</f>
        <v>Imposiciones</v>
      </c>
      <c r="E163" s="1" t="str">
        <f aca="false">IFERROR(__xludf.dummyfunction("""COMPUTED_VALUE"""),"Agosto")</f>
        <v>Agosto</v>
      </c>
      <c r="F163" s="1" t="n">
        <f aca="false">IFERROR(__xludf.dummyfunction("""COMPUTED_VALUE"""),2023)</f>
        <v>2023</v>
      </c>
    </row>
    <row r="164" customFormat="false" ht="15.75" hidden="false" customHeight="false" outlineLevel="0" collapsed="false">
      <c r="A164" s="2" t="str">
        <f aca="false">IFERROR(__xludf.dummyfunction("""COMPUTED_VALUE"""),"31/08/2023")</f>
        <v>31/08/2023</v>
      </c>
      <c r="B164" s="2" t="n">
        <f aca="false">IFERROR(__xludf.dummyfunction("""COMPUTED_VALUE"""),85000)</f>
        <v>85000</v>
      </c>
      <c r="C164" s="1" t="str">
        <f aca="false">IFERROR(__xludf.dummyfunction("""COMPUTED_VALUE"""),"Anticipos")</f>
        <v>Anticipos</v>
      </c>
      <c r="D164" s="1" t="str">
        <f aca="false">IFERROR(__xludf.dummyfunction("""COMPUTED_VALUE"""),"Remuneraciones")</f>
        <v>Remuneraciones</v>
      </c>
      <c r="E164" s="1" t="str">
        <f aca="false">IFERROR(__xludf.dummyfunction("""COMPUTED_VALUE"""),"Agosto")</f>
        <v>Agosto</v>
      </c>
      <c r="F164" s="1" t="n">
        <f aca="false">IFERROR(__xludf.dummyfunction("""COMPUTED_VALUE"""),2023)</f>
        <v>2023</v>
      </c>
    </row>
    <row r="165" customFormat="false" ht="15.75" hidden="false" customHeight="false" outlineLevel="0" collapsed="false">
      <c r="A165" s="2" t="str">
        <f aca="false">IFERROR(__xludf.dummyfunction("""COMPUTED_VALUE"""),"31/08/2023")</f>
        <v>31/08/2023</v>
      </c>
      <c r="B165" s="2" t="n">
        <f aca="false">IFERROR(__xludf.dummyfunction("""COMPUTED_VALUE"""),758426)</f>
        <v>758426</v>
      </c>
      <c r="C165" s="1" t="str">
        <f aca="false">IFERROR(__xludf.dummyfunction("""COMPUTED_VALUE"""),"Mantenimientos")</f>
        <v>Mantenimientos</v>
      </c>
      <c r="D165" s="1" t="str">
        <f aca="false">IFERROR(__xludf.dummyfunction("""COMPUTED_VALUE"""),"HidroPack")</f>
        <v>HidroPack</v>
      </c>
      <c r="E165" s="1" t="str">
        <f aca="false">IFERROR(__xludf.dummyfunction("""COMPUTED_VALUE"""),"Agosto")</f>
        <v>Agosto</v>
      </c>
      <c r="F165" s="1" t="n">
        <f aca="false">IFERROR(__xludf.dummyfunction("""COMPUTED_VALUE"""),2023)</f>
        <v>2023</v>
      </c>
    </row>
    <row r="166" customFormat="false" ht="15.75" hidden="false" customHeight="false" outlineLevel="0" collapsed="false">
      <c r="A166" s="2" t="str">
        <f aca="false">IFERROR(__xludf.dummyfunction("""COMPUTED_VALUE"""),"31/08/2023")</f>
        <v>31/08/2023</v>
      </c>
      <c r="B166" s="2" t="n">
        <f aca="false">IFERROR(__xludf.dummyfunction("""COMPUTED_VALUE"""),350000)</f>
        <v>350000</v>
      </c>
      <c r="C166" s="1" t="str">
        <f aca="false">IFERROR(__xludf.dummyfunction("""COMPUTED_VALUE"""),"Mantenimientos")</f>
        <v>Mantenimientos</v>
      </c>
      <c r="D166" s="1" t="str">
        <f aca="false">IFERROR(__xludf.dummyfunction("""COMPUTED_VALUE"""),"Portón")</f>
        <v>Portón</v>
      </c>
      <c r="E166" s="1" t="str">
        <f aca="false">IFERROR(__xludf.dummyfunction("""COMPUTED_VALUE"""),"Agosto")</f>
        <v>Agosto</v>
      </c>
      <c r="F166" s="1" t="n">
        <f aca="false">IFERROR(__xludf.dummyfunction("""COMPUTED_VALUE"""),2023)</f>
        <v>2023</v>
      </c>
    </row>
    <row r="167" customFormat="false" ht="15.75" hidden="false" customHeight="false" outlineLevel="0" collapsed="false">
      <c r="A167" s="2" t="str">
        <f aca="false">IFERROR(__xludf.dummyfunction("""COMPUTED_VALUE"""),"31/08/2023")</f>
        <v>31/08/2023</v>
      </c>
      <c r="B167" s="2" t="n">
        <f aca="false">IFERROR(__xludf.dummyfunction("""COMPUTED_VALUE"""),30000)</f>
        <v>30000</v>
      </c>
      <c r="C167" s="1" t="str">
        <f aca="false">IFERROR(__xludf.dummyfunction("""COMPUTED_VALUE"""),"Telon")</f>
        <v>Telon</v>
      </c>
      <c r="D167" s="1" t="str">
        <f aca="false">IFERROR(__xludf.dummyfunction("""COMPUTED_VALUE"""),"Materiales")</f>
        <v>Materiales</v>
      </c>
      <c r="E167" s="1" t="str">
        <f aca="false">IFERROR(__xludf.dummyfunction("""COMPUTED_VALUE"""),"Agosto")</f>
        <v>Agosto</v>
      </c>
      <c r="F167" s="1" t="n">
        <f aca="false">IFERROR(__xludf.dummyfunction("""COMPUTED_VALUE"""),2023)</f>
        <v>2023</v>
      </c>
    </row>
    <row r="168" customFormat="false" ht="15.75" hidden="false" customHeight="false" outlineLevel="0" collapsed="false">
      <c r="A168" s="2" t="str">
        <f aca="false">IFERROR(__xludf.dummyfunction("""COMPUTED_VALUE"""),"30/09/2023")</f>
        <v>30/09/2023</v>
      </c>
      <c r="B168" s="2" t="n">
        <f aca="false">IFERROR(__xludf.dummyfunction("""COMPUTED_VALUE"""),250000)</f>
        <v>250000</v>
      </c>
      <c r="C168" s="1" t="str">
        <f aca="false">IFERROR(__xludf.dummyfunction("""COMPUTED_VALUE"""),"Pago Administración ")</f>
        <v>Pago Administración </v>
      </c>
      <c r="D168" s="1" t="str">
        <f aca="false">IFERROR(__xludf.dummyfunction("""COMPUTED_VALUE"""),"Remuneraciones")</f>
        <v>Remuneraciones</v>
      </c>
      <c r="E168" s="1" t="str">
        <f aca="false">IFERROR(__xludf.dummyfunction("""COMPUTED_VALUE"""),"Septiembre")</f>
        <v>Septiembre</v>
      </c>
      <c r="F168" s="1" t="n">
        <f aca="false">IFERROR(__xludf.dummyfunction("""COMPUTED_VALUE"""),2023)</f>
        <v>2023</v>
      </c>
    </row>
    <row r="169" customFormat="false" ht="15.75" hidden="false" customHeight="false" outlineLevel="0" collapsed="false">
      <c r="A169" s="2" t="str">
        <f aca="false">IFERROR(__xludf.dummyfunction("""COMPUTED_VALUE"""),"30/09/2023")</f>
        <v>30/09/2023</v>
      </c>
      <c r="B169" s="2" t="n">
        <f aca="false">IFERROR(__xludf.dummyfunction("""COMPUTED_VALUE"""),135000)</f>
        <v>135000</v>
      </c>
      <c r="C169" s="1" t="str">
        <f aca="false">IFERROR(__xludf.dummyfunction("""COMPUTED_VALUE"""),"Aguinaldos")</f>
        <v>Aguinaldos</v>
      </c>
      <c r="D169" s="1" t="str">
        <f aca="false">IFERROR(__xludf.dummyfunction("""COMPUTED_VALUE"""),"Aguinaldos")</f>
        <v>Aguinaldos</v>
      </c>
      <c r="E169" s="1" t="str">
        <f aca="false">IFERROR(__xludf.dummyfunction("""COMPUTED_VALUE"""),"Septiembre")</f>
        <v>Septiembre</v>
      </c>
      <c r="F169" s="1" t="n">
        <f aca="false">IFERROR(__xludf.dummyfunction("""COMPUTED_VALUE"""),2023)</f>
        <v>2023</v>
      </c>
    </row>
    <row r="170" customFormat="false" ht="15.75" hidden="false" customHeight="false" outlineLevel="0" collapsed="false">
      <c r="A170" s="2" t="str">
        <f aca="false">IFERROR(__xludf.dummyfunction("""COMPUTED_VALUE"""),"30/09/2023")</f>
        <v>30/09/2023</v>
      </c>
      <c r="B170" s="2" t="n">
        <f aca="false">IFERROR(__xludf.dummyfunction("""COMPUTED_VALUE"""),227303)</f>
        <v>227303</v>
      </c>
      <c r="C170" s="1" t="str">
        <f aca="false">IFERROR(__xludf.dummyfunction("""COMPUTED_VALUE"""),"Cotizaciones Previsionales")</f>
        <v>Cotizaciones Previsionales</v>
      </c>
      <c r="D170" s="1" t="str">
        <f aca="false">IFERROR(__xludf.dummyfunction("""COMPUTED_VALUE"""),"Imposiciones")</f>
        <v>Imposiciones</v>
      </c>
      <c r="E170" s="1" t="str">
        <f aca="false">IFERROR(__xludf.dummyfunction("""COMPUTED_VALUE"""),"Septiembre")</f>
        <v>Septiembre</v>
      </c>
      <c r="F170" s="1" t="n">
        <f aca="false">IFERROR(__xludf.dummyfunction("""COMPUTED_VALUE"""),2023)</f>
        <v>2023</v>
      </c>
    </row>
    <row r="171" customFormat="false" ht="15.75" hidden="false" customHeight="false" outlineLevel="0" collapsed="false">
      <c r="A171" s="2" t="str">
        <f aca="false">IFERROR(__xludf.dummyfunction("""COMPUTED_VALUE"""),"30/09/2023")</f>
        <v>30/09/2023</v>
      </c>
      <c r="B171" s="2" t="n">
        <f aca="false">IFERROR(__xludf.dummyfunction("""COMPUTED_VALUE"""),190000)</f>
        <v>190000</v>
      </c>
      <c r="C171" s="1" t="str">
        <f aca="false">IFERROR(__xludf.dummyfunction("""COMPUTED_VALUE"""),"Anticipos")</f>
        <v>Anticipos</v>
      </c>
      <c r="D171" s="1" t="str">
        <f aca="false">IFERROR(__xludf.dummyfunction("""COMPUTED_VALUE"""),"Remuneraciones")</f>
        <v>Remuneraciones</v>
      </c>
      <c r="E171" s="1" t="str">
        <f aca="false">IFERROR(__xludf.dummyfunction("""COMPUTED_VALUE"""),"Septiembre")</f>
        <v>Septiembre</v>
      </c>
      <c r="F171" s="1" t="n">
        <f aca="false">IFERROR(__xludf.dummyfunction("""COMPUTED_VALUE"""),2023)</f>
        <v>2023</v>
      </c>
    </row>
    <row r="172" customFormat="false" ht="15.75" hidden="false" customHeight="false" outlineLevel="0" collapsed="false">
      <c r="A172" s="2" t="str">
        <f aca="false">IFERROR(__xludf.dummyfunction("""COMPUTED_VALUE"""),"30/09/2023")</f>
        <v>30/09/2023</v>
      </c>
      <c r="B172" s="2" t="n">
        <f aca="false">IFERROR(__xludf.dummyfunction("""COMPUTED_VALUE"""),168980)</f>
        <v>168980</v>
      </c>
      <c r="C172" s="1" t="str">
        <f aca="false">IFERROR(__xludf.dummyfunction("""COMPUTED_VALUE"""),"Mantenimientos")</f>
        <v>Mantenimientos</v>
      </c>
      <c r="D172" s="1" t="str">
        <f aca="false">IFERROR(__xludf.dummyfunction("""COMPUTED_VALUE"""),"HidroPack")</f>
        <v>HidroPack</v>
      </c>
      <c r="E172" s="1" t="str">
        <f aca="false">IFERROR(__xludf.dummyfunction("""COMPUTED_VALUE"""),"Septiembre")</f>
        <v>Septiembre</v>
      </c>
      <c r="F172" s="1" t="n">
        <f aca="false">IFERROR(__xludf.dummyfunction("""COMPUTED_VALUE"""),2023)</f>
        <v>2023</v>
      </c>
    </row>
    <row r="173" customFormat="false" ht="15.75" hidden="false" customHeight="false" outlineLevel="0" collapsed="false">
      <c r="A173" s="2" t="str">
        <f aca="false">IFERROR(__xludf.dummyfunction("""COMPUTED_VALUE"""),"30/09/2023")</f>
        <v>30/09/2023</v>
      </c>
      <c r="B173" s="2" t="n">
        <f aca="false">IFERROR(__xludf.dummyfunction("""COMPUTED_VALUE"""),905637)</f>
        <v>905637</v>
      </c>
      <c r="C173" s="1" t="str">
        <f aca="false">IFERROR(__xludf.dummyfunction("""COMPUTED_VALUE"""),"Sueldos")</f>
        <v>Sueldos</v>
      </c>
      <c r="D173" s="1" t="str">
        <f aca="false">IFERROR(__xludf.dummyfunction("""COMPUTED_VALUE"""),"Remuneraciones")</f>
        <v>Remuneraciones</v>
      </c>
      <c r="E173" s="1" t="str">
        <f aca="false">IFERROR(__xludf.dummyfunction("""COMPUTED_VALUE"""),"Septiembre")</f>
        <v>Septiembre</v>
      </c>
      <c r="F173" s="1" t="n">
        <f aca="false">IFERROR(__xludf.dummyfunction("""COMPUTED_VALUE"""),2023)</f>
        <v>2023</v>
      </c>
    </row>
    <row r="174" customFormat="false" ht="15.75" hidden="false" customHeight="false" outlineLevel="0" collapsed="false">
      <c r="A174" s="2" t="str">
        <f aca="false">IFERROR(__xludf.dummyfunction("""COMPUTED_VALUE"""),"30/09/2023")</f>
        <v>30/09/2023</v>
      </c>
      <c r="B174" s="2" t="n">
        <f aca="false">IFERROR(__xludf.dummyfunction("""COMPUTED_VALUE"""),899200)</f>
        <v>899200</v>
      </c>
      <c r="C174" s="1" t="str">
        <f aca="false">IFERROR(__xludf.dummyfunction("""COMPUTED_VALUE"""),"Mantenimientos")</f>
        <v>Mantenimientos</v>
      </c>
      <c r="D174" s="1" t="str">
        <f aca="false">IFERROR(__xludf.dummyfunction("""COMPUTED_VALUE"""),"Sin Especificar")</f>
        <v>Sin Especificar</v>
      </c>
      <c r="E174" s="1" t="str">
        <f aca="false">IFERROR(__xludf.dummyfunction("""COMPUTED_VALUE"""),"Septiembre")</f>
        <v>Septiembre</v>
      </c>
      <c r="F174" s="1" t="n">
        <f aca="false">IFERROR(__xludf.dummyfunction("""COMPUTED_VALUE"""),2023)</f>
        <v>2023</v>
      </c>
    </row>
    <row r="175" customFormat="false" ht="15.75" hidden="false" customHeight="false" outlineLevel="0" collapsed="false">
      <c r="A175" s="2" t="str">
        <f aca="false">IFERROR(__xludf.dummyfunction("""COMPUTED_VALUE"""),"31/10/2023")</f>
        <v>31/10/2023</v>
      </c>
      <c r="B175" s="2" t="n">
        <f aca="false">IFERROR(__xludf.dummyfunction("""COMPUTED_VALUE"""),100500)</f>
        <v>100500</v>
      </c>
      <c r="C175" s="1" t="str">
        <f aca="false">IFERROR(__xludf.dummyfunction("""COMPUTED_VALUE"""),"Fiesta 18 Septiembre")</f>
        <v>Fiesta 18 Septiembre</v>
      </c>
      <c r="D175" s="1" t="str">
        <f aca="false">IFERROR(__xludf.dummyfunction("""COMPUTED_VALUE"""),"Varios")</f>
        <v>Varios</v>
      </c>
      <c r="E175" s="1" t="str">
        <f aca="false">IFERROR(__xludf.dummyfunction("""COMPUTED_VALUE"""),"Octubre")</f>
        <v>Octubre</v>
      </c>
      <c r="F175" s="1" t="n">
        <f aca="false">IFERROR(__xludf.dummyfunction("""COMPUTED_VALUE"""),2023)</f>
        <v>2023</v>
      </c>
    </row>
    <row r="176" customFormat="false" ht="15.75" hidden="false" customHeight="false" outlineLevel="0" collapsed="false">
      <c r="A176" s="2" t="str">
        <f aca="false">IFERROR(__xludf.dummyfunction("""COMPUTED_VALUE"""),"30/11/2023")</f>
        <v>30/11/2023</v>
      </c>
      <c r="B176" s="2" t="n">
        <f aca="false">IFERROR(__xludf.dummyfunction("""COMPUTED_VALUE"""),60000)</f>
        <v>60000</v>
      </c>
      <c r="C176" s="1" t="str">
        <f aca="false">IFERROR(__xludf.dummyfunction("""COMPUTED_VALUE"""),"Mantenimientos")</f>
        <v>Mantenimientos</v>
      </c>
      <c r="D176" s="1" t="str">
        <f aca="false">IFERROR(__xludf.dummyfunction("""COMPUTED_VALUE"""),"Sin Especificar")</f>
        <v>Sin Especificar</v>
      </c>
      <c r="E176" s="1" t="str">
        <f aca="false">IFERROR(__xludf.dummyfunction("""COMPUTED_VALUE"""),"Noviembre")</f>
        <v>Noviembre</v>
      </c>
      <c r="F176" s="1" t="n">
        <f aca="false">IFERROR(__xludf.dummyfunction("""COMPUTED_VALUE"""),2023)</f>
        <v>2023</v>
      </c>
    </row>
    <row r="177" customFormat="false" ht="15.75" hidden="false" customHeight="false" outlineLevel="0" collapsed="false">
      <c r="A177" s="2" t="str">
        <f aca="false">IFERROR(__xludf.dummyfunction("""COMPUTED_VALUE"""),"31/08/2023")</f>
        <v>31/08/2023</v>
      </c>
      <c r="B177" s="2" t="n">
        <f aca="false">IFERROR(__xludf.dummyfunction("""COMPUTED_VALUE"""),720940)</f>
        <v>720940</v>
      </c>
      <c r="C177" s="1" t="str">
        <f aca="false">IFERROR(__xludf.dummyfunction("""COMPUTED_VALUE"""),"Varios")</f>
        <v>Varios</v>
      </c>
      <c r="D177" s="1" t="str">
        <f aca="false">IFERROR(__xludf.dummyfunction("""COMPUTED_VALUE"""),"Sin Especificar")</f>
        <v>Sin Especificar</v>
      </c>
      <c r="E177" s="1" t="str">
        <f aca="false">IFERROR(__xludf.dummyfunction("""COMPUTED_VALUE"""),"Agosto")</f>
        <v>Agosto</v>
      </c>
      <c r="F177" s="1" t="n">
        <f aca="false">IFERROR(__xludf.dummyfunction("""COMPUTED_VALUE"""),2023)</f>
        <v>2023</v>
      </c>
    </row>
    <row r="178" customFormat="false" ht="15.75" hidden="false" customHeight="false" outlineLevel="0" collapsed="false">
      <c r="A178" s="2" t="str">
        <f aca="false">IFERROR(__xludf.dummyfunction("""COMPUTED_VALUE"""),"31/12/2023")</f>
        <v>31/12/2023</v>
      </c>
      <c r="B178" s="2" t="n">
        <f aca="false">IFERROR(__xludf.dummyfunction("""COMPUTED_VALUE"""),238051)</f>
        <v>238051</v>
      </c>
      <c r="C178" s="1" t="str">
        <f aca="false">IFERROR(__xludf.dummyfunction("""COMPUTED_VALUE"""),"Gastos Fiesta Navidad")</f>
        <v>Gastos Fiesta Navidad</v>
      </c>
      <c r="D178" s="1" t="str">
        <f aca="false">IFERROR(__xludf.dummyfunction("""COMPUTED_VALUE"""),"Sin Especificar")</f>
        <v>Sin Especificar</v>
      </c>
      <c r="E178" s="1" t="str">
        <f aca="false">IFERROR(__xludf.dummyfunction("""COMPUTED_VALUE"""),"Diciembre")</f>
        <v>Diciembre</v>
      </c>
      <c r="F178" s="1" t="n">
        <f aca="false">IFERROR(__xludf.dummyfunction("""COMPUTED_VALUE"""),2023)</f>
        <v>2023</v>
      </c>
    </row>
    <row r="179" customFormat="false" ht="15.75" hidden="false" customHeight="false" outlineLevel="0" collapsed="false">
      <c r="A179" s="2" t="str">
        <f aca="false">IFERROR(__xludf.dummyfunction("""COMPUTED_VALUE"""),"31/01/2024")</f>
        <v>31/01/2024</v>
      </c>
      <c r="B179" s="2" t="n">
        <f aca="false">IFERROR(__xludf.dummyfunction("""COMPUTED_VALUE"""),3000)</f>
        <v>3000</v>
      </c>
      <c r="C179" s="1" t="str">
        <f aca="false">IFERROR(__xludf.dummyfunction("""COMPUTED_VALUE"""),"Mantenimientos")</f>
        <v>Mantenimientos</v>
      </c>
      <c r="D179" s="1" t="str">
        <f aca="false">IFERROR(__xludf.dummyfunction("""COMPUTED_VALUE"""),"Sin Especificar")</f>
        <v>Sin Especificar</v>
      </c>
      <c r="E179" s="1" t="str">
        <f aca="false">IFERROR(__xludf.dummyfunction("""COMPUTED_VALUE"""),"Enero")</f>
        <v>Enero</v>
      </c>
      <c r="F179" s="1" t="n">
        <f aca="false">IFERROR(__xludf.dummyfunction("""COMPUTED_VALUE"""),2024)</f>
        <v>2024</v>
      </c>
    </row>
    <row r="180" customFormat="false" ht="15.75" hidden="false" customHeight="false" outlineLevel="0" collapsed="false">
      <c r="A180" s="2" t="str">
        <f aca="false">IFERROR(__xludf.dummyfunction("""COMPUTED_VALUE"""),"31/03/2024")</f>
        <v>31/03/2024</v>
      </c>
      <c r="B180" s="2" t="n">
        <f aca="false">IFERROR(__xludf.dummyfunction("""COMPUTED_VALUE"""),0)</f>
        <v>0</v>
      </c>
      <c r="C180" s="1" t="str">
        <f aca="false">IFERROR(__xludf.dummyfunction("""COMPUTED_VALUE"""),"Mantenimientos")</f>
        <v>Mantenimientos</v>
      </c>
      <c r="D180" s="1" t="str">
        <f aca="false">IFERROR(__xludf.dummyfunction("""COMPUTED_VALUE"""),"Sin Especificar")</f>
        <v>Sin Especificar</v>
      </c>
      <c r="E180" s="1" t="str">
        <f aca="false">IFERROR(__xludf.dummyfunction("""COMPUTED_VALUE"""),"Marzo")</f>
        <v>Marzo</v>
      </c>
      <c r="F180" s="1" t="n">
        <f aca="false">IFERROR(__xludf.dummyfunction("""COMPUTED_VALUE"""),2024)</f>
        <v>2024</v>
      </c>
    </row>
    <row r="181" customFormat="false" ht="15.75" hidden="false" customHeight="false" outlineLevel="0" collapsed="false">
      <c r="A181" s="2" t="str">
        <f aca="false">IFERROR(__xludf.dummyfunction("""COMPUTED_VALUE"""),"31/05/2024")</f>
        <v>31/05/2024</v>
      </c>
      <c r="B181" s="2" t="n">
        <f aca="false">IFERROR(__xludf.dummyfunction("""COMPUTED_VALUE"""),113000)</f>
        <v>113000</v>
      </c>
      <c r="C181" s="1" t="str">
        <f aca="false">IFERROR(__xludf.dummyfunction("""COMPUTED_VALUE"""),"Mantenimientos")</f>
        <v>Mantenimientos</v>
      </c>
      <c r="D181" s="1" t="str">
        <f aca="false">IFERROR(__xludf.dummyfunction("""COMPUTED_VALUE"""),"Sin Especificar")</f>
        <v>Sin Especificar</v>
      </c>
      <c r="E181" s="1" t="str">
        <f aca="false">IFERROR(__xludf.dummyfunction("""COMPUTED_VALUE"""),"Mayo")</f>
        <v>Mayo</v>
      </c>
      <c r="F181" s="1" t="n">
        <f aca="false">IFERROR(__xludf.dummyfunction("""COMPUTED_VALUE"""),2024)</f>
        <v>2024</v>
      </c>
    </row>
    <row r="182" customFormat="false" ht="15.75" hidden="false" customHeight="false" outlineLevel="0" collapsed="false">
      <c r="A182" s="2" t="str">
        <f aca="false">IFERROR(__xludf.dummyfunction("""COMPUTED_VALUE"""),"30/06/2024")</f>
        <v>30/06/2024</v>
      </c>
      <c r="B182" s="2" t="n">
        <f aca="false">IFERROR(__xludf.dummyfunction("""COMPUTED_VALUE"""),380000)</f>
        <v>380000</v>
      </c>
      <c r="C182" s="1" t="str">
        <f aca="false">IFERROR(__xludf.dummyfunction("""COMPUTED_VALUE"""),"Mantenimientos")</f>
        <v>Mantenimientos</v>
      </c>
      <c r="D182" s="1" t="str">
        <f aca="false">IFERROR(__xludf.dummyfunction("""COMPUTED_VALUE"""),"Sin Especificar")</f>
        <v>Sin Especificar</v>
      </c>
      <c r="E182" s="1" t="str">
        <f aca="false">IFERROR(__xludf.dummyfunction("""COMPUTED_VALUE"""),"Junio")</f>
        <v>Junio</v>
      </c>
      <c r="F182" s="1" t="n">
        <f aca="false">IFERROR(__xludf.dummyfunction("""COMPUTED_VALUE"""),2024)</f>
        <v>2024</v>
      </c>
    </row>
    <row r="183" customFormat="false" ht="15.75" hidden="false" customHeight="false" outlineLevel="0" collapsed="false">
      <c r="A183" s="2" t="str">
        <f aca="false">IFERROR(__xludf.dummyfunction("""COMPUTED_VALUE"""),"31/07/2024")</f>
        <v>31/07/2024</v>
      </c>
      <c r="B183" s="2" t="n">
        <f aca="false">IFERROR(__xludf.dummyfunction("""COMPUTED_VALUE"""),49250)</f>
        <v>49250</v>
      </c>
      <c r="C183" s="1" t="str">
        <f aca="false">IFERROR(__xludf.dummyfunction("""COMPUTED_VALUE"""),"Mantenimientos")</f>
        <v>Mantenimientos</v>
      </c>
      <c r="D183" s="1" t="str">
        <f aca="false">IFERROR(__xludf.dummyfunction("""COMPUTED_VALUE"""),"Sin Especificar")</f>
        <v>Sin Especificar</v>
      </c>
      <c r="E183" s="1" t="str">
        <f aca="false">IFERROR(__xludf.dummyfunction("""COMPUTED_VALUE"""),"Julio")</f>
        <v>Julio</v>
      </c>
      <c r="F183" s="1" t="n">
        <f aca="false">IFERROR(__xludf.dummyfunction("""COMPUTED_VALUE"""),2024)</f>
        <v>2024</v>
      </c>
    </row>
    <row r="184" customFormat="false" ht="15.75" hidden="false" customHeight="false" outlineLevel="0" collapsed="false">
      <c r="A184" s="2" t="str">
        <f aca="false">IFERROR(__xludf.dummyfunction("""COMPUTED_VALUE"""),"31/08/2024")</f>
        <v>31/08/2024</v>
      </c>
      <c r="B184" s="2" t="n">
        <f aca="false">IFERROR(__xludf.dummyfunction("""COMPUTED_VALUE"""),28800)</f>
        <v>28800</v>
      </c>
      <c r="C184" s="1" t="str">
        <f aca="false">IFERROR(__xludf.dummyfunction("""COMPUTED_VALUE"""),"Mantenimientos")</f>
        <v>Mantenimientos</v>
      </c>
      <c r="D184" s="1" t="str">
        <f aca="false">IFERROR(__xludf.dummyfunction("""COMPUTED_VALUE"""),"Sin Especificar")</f>
        <v>Sin Especificar</v>
      </c>
      <c r="E184" s="1" t="str">
        <f aca="false">IFERROR(__xludf.dummyfunction("""COMPUTED_VALUE"""),"Agosto")</f>
        <v>Agosto</v>
      </c>
      <c r="F184" s="1" t="n">
        <f aca="false">IFERROR(__xludf.dummyfunction("""COMPUTED_VALUE"""),2024)</f>
        <v>2024</v>
      </c>
    </row>
    <row r="185" customFormat="false" ht="15.75" hidden="false" customHeight="false" outlineLevel="0" collapsed="false">
      <c r="A185" s="1" t="str">
        <f aca="false">IFERROR(__xludf.dummyfunction("""COMPUTED_VALUE"""),"30/09/2024")</f>
        <v>30/09/2024</v>
      </c>
      <c r="B185" s="2" t="n">
        <f aca="false">IFERROR(__xludf.dummyfunction("""COMPUTED_VALUE"""),364000)</f>
        <v>364000</v>
      </c>
      <c r="C185" s="1" t="str">
        <f aca="false">IFERROR(__xludf.dummyfunction("""COMPUTED_VALUE"""),"Mantenimientos")</f>
        <v>Mantenimientos</v>
      </c>
      <c r="D185" s="1" t="str">
        <f aca="false">IFERROR(__xludf.dummyfunction("""COMPUTED_VALUE"""),"Sin Especificar")</f>
        <v>Sin Especificar</v>
      </c>
      <c r="E185" s="1" t="str">
        <f aca="false">IFERROR(__xludf.dummyfunction("""COMPUTED_VALUE"""),"Septiembre")</f>
        <v>Septiembre</v>
      </c>
      <c r="F185" s="1" t="n">
        <f aca="false">IFERROR(__xludf.dummyfunction("""COMPUTED_VALUE"""),2024)</f>
        <v>2024</v>
      </c>
    </row>
    <row r="186" customFormat="false" ht="15.75" hidden="false" customHeight="false" outlineLevel="0" collapsed="false">
      <c r="A186" s="1" t="str">
        <f aca="false">IFERROR(__xludf.dummyfunction("""COMPUTED_VALUE"""),"31/10/2024")</f>
        <v>31/10/2024</v>
      </c>
      <c r="B186" s="2" t="n">
        <f aca="false">IFERROR(__xludf.dummyfunction("""COMPUTED_VALUE"""),30000)</f>
        <v>30000</v>
      </c>
      <c r="C186" s="1" t="str">
        <f aca="false">IFERROR(__xludf.dummyfunction("""COMPUTED_VALUE"""),"Mantenimientos")</f>
        <v>Mantenimientos</v>
      </c>
      <c r="D186" s="1" t="str">
        <f aca="false">IFERROR(__xludf.dummyfunction("""COMPUTED_VALUE"""),"Sin Especificar")</f>
        <v>Sin Especificar</v>
      </c>
      <c r="E186" s="1" t="str">
        <f aca="false">IFERROR(__xludf.dummyfunction("""COMPUTED_VALUE"""),"Octubre")</f>
        <v>Octubre</v>
      </c>
      <c r="F186" s="1" t="n">
        <f aca="false">IFERROR(__xludf.dummyfunction("""COMPUTED_VALUE"""),2024)</f>
        <v>2024</v>
      </c>
    </row>
    <row r="187" customFormat="false" ht="15.75" hidden="false" customHeight="false" outlineLevel="0" collapsed="false">
      <c r="A187" s="1" t="str">
        <f aca="false">IFERROR(__xludf.dummyfunction("""COMPUTED_VALUE"""),"30/11/2024")</f>
        <v>30/11/2024</v>
      </c>
      <c r="B187" s="2" t="n">
        <f aca="false">IFERROR(__xludf.dummyfunction("""COMPUTED_VALUE"""),95000)</f>
        <v>95000</v>
      </c>
      <c r="C187" s="1" t="str">
        <f aca="false">IFERROR(__xludf.dummyfunction("""COMPUTED_VALUE"""),"Mantenimientos")</f>
        <v>Mantenimientos</v>
      </c>
      <c r="D187" s="1" t="str">
        <f aca="false">IFERROR(__xludf.dummyfunction("""COMPUTED_VALUE"""),"Sin Especificar")</f>
        <v>Sin Especificar</v>
      </c>
      <c r="E187" s="1" t="str">
        <f aca="false">IFERROR(__xludf.dummyfunction("""COMPUTED_VALUE"""),"Noviembre")</f>
        <v>Noviembre</v>
      </c>
      <c r="F187" s="1" t="n">
        <f aca="false">IFERROR(__xludf.dummyfunction("""COMPUTED_VALUE"""),2024)</f>
        <v>2024</v>
      </c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</row>
  </sheetData>
  <autoFilter ref="A1:F18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1:1048576"/>
    </sheetView>
  </sheetViews>
  <sheetFormatPr defaultColWidth="11.53515625" defaultRowHeight="15.75" zeroHeight="false" outlineLevelRow="0" outlineLevelCol="0"/>
  <cols>
    <col collapsed="false" customWidth="true" hidden="false" outlineLevel="0" max="3" min="3" style="0" width="11.86"/>
  </cols>
  <sheetData>
    <row r="1" customFormat="false" ht="15.75" hidden="false" customHeight="false" outlineLevel="0" collapsed="false">
      <c r="A1" s="3" t="str">
        <f aca="false">IFERROR(__xludf.dummyfunction("IMPORTRANGE(""https://docs.google.com/spreadsheets/d/1WFEArRp_km_Lbi8km6SAcc5MMoPz9_5l0-qlUR7_j98"",""Saldo CC!A1:C555"")"),"Fecha")</f>
        <v>Fecha</v>
      </c>
      <c r="B1" s="3" t="str">
        <f aca="false">IFERROR(__xludf.dummyfunction("""COMPUTED_VALUE"""),"Monto")</f>
        <v>Monto</v>
      </c>
      <c r="C1" s="3" t="str">
        <f aca="false">IFERROR(__xludf.dummyfunction("""COMPUTED_VALUE"""),"Mes")</f>
        <v>Mes</v>
      </c>
    </row>
    <row r="2" customFormat="false" ht="15.75" hidden="false" customHeight="false" outlineLevel="0" collapsed="false">
      <c r="A2" s="2" t="str">
        <f aca="false">IFERROR(__xludf.dummyfunction("""COMPUTED_VALUE"""),"31/01/2023")</f>
        <v>31/01/2023</v>
      </c>
      <c r="B2" s="2" t="n">
        <f aca="false">IFERROR(__xludf.dummyfunction("""COMPUTED_VALUE"""),0)</f>
        <v>0</v>
      </c>
      <c r="C2" s="1" t="str">
        <f aca="false">IFERROR(__xludf.dummyfunction("""COMPUTED_VALUE"""),"Enero")</f>
        <v>Enero</v>
      </c>
    </row>
    <row r="3" customFormat="false" ht="15.75" hidden="false" customHeight="false" outlineLevel="0" collapsed="false">
      <c r="A3" s="2" t="str">
        <f aca="false">IFERROR(__xludf.dummyfunction("""COMPUTED_VALUE"""),"28/02/2023")</f>
        <v>28/02/2023</v>
      </c>
      <c r="B3" s="2" t="n">
        <f aca="false">IFERROR(__xludf.dummyfunction("""COMPUTED_VALUE"""),0)</f>
        <v>0</v>
      </c>
      <c r="C3" s="1" t="str">
        <f aca="false">IFERROR(__xludf.dummyfunction("""COMPUTED_VALUE"""),"Febrero")</f>
        <v>Febrero</v>
      </c>
    </row>
    <row r="4" customFormat="false" ht="15.75" hidden="false" customHeight="false" outlineLevel="0" collapsed="false">
      <c r="A4" s="2" t="str">
        <f aca="false">IFERROR(__xludf.dummyfunction("""COMPUTED_VALUE"""),"31/03/2023")</f>
        <v>31/03/2023</v>
      </c>
      <c r="B4" s="2" t="n">
        <f aca="false">IFERROR(__xludf.dummyfunction("""COMPUTED_VALUE"""),0)</f>
        <v>0</v>
      </c>
      <c r="C4" s="1" t="str">
        <f aca="false">IFERROR(__xludf.dummyfunction("""COMPUTED_VALUE"""),"Marzo")</f>
        <v>Marzo</v>
      </c>
    </row>
    <row r="5" customFormat="false" ht="15.75" hidden="false" customHeight="false" outlineLevel="0" collapsed="false">
      <c r="A5" s="2" t="str">
        <f aca="false">IFERROR(__xludf.dummyfunction("""COMPUTED_VALUE"""),"30/04/2023")</f>
        <v>30/04/2023</v>
      </c>
      <c r="B5" s="2" t="n">
        <f aca="false">IFERROR(__xludf.dummyfunction("""COMPUTED_VALUE"""),0)</f>
        <v>0</v>
      </c>
      <c r="C5" s="1" t="str">
        <f aca="false">IFERROR(__xludf.dummyfunction("""COMPUTED_VALUE"""),"Abril")</f>
        <v>Abril</v>
      </c>
    </row>
    <row r="6" customFormat="false" ht="15.75" hidden="false" customHeight="false" outlineLevel="0" collapsed="false">
      <c r="A6" s="2" t="str">
        <f aca="false">IFERROR(__xludf.dummyfunction("""COMPUTED_VALUE"""),"31/05/2023")</f>
        <v>31/05/2023</v>
      </c>
      <c r="B6" s="2" t="n">
        <f aca="false">IFERROR(__xludf.dummyfunction("""COMPUTED_VALUE"""),0)</f>
        <v>0</v>
      </c>
      <c r="C6" s="1" t="str">
        <f aca="false">IFERROR(__xludf.dummyfunction("""COMPUTED_VALUE"""),"Mayo")</f>
        <v>Mayo</v>
      </c>
    </row>
    <row r="7" customFormat="false" ht="15.75" hidden="false" customHeight="false" outlineLevel="0" collapsed="false">
      <c r="A7" s="2" t="str">
        <f aca="false">IFERROR(__xludf.dummyfunction("""COMPUTED_VALUE"""),"30/06/2023")</f>
        <v>30/06/2023</v>
      </c>
      <c r="B7" s="2" t="n">
        <f aca="false">IFERROR(__xludf.dummyfunction("""COMPUTED_VALUE"""),0)</f>
        <v>0</v>
      </c>
      <c r="C7" s="1" t="str">
        <f aca="false">IFERROR(__xludf.dummyfunction("""COMPUTED_VALUE"""),"Junio")</f>
        <v>Junio</v>
      </c>
    </row>
    <row r="8" customFormat="false" ht="15.75" hidden="false" customHeight="false" outlineLevel="0" collapsed="false">
      <c r="A8" s="2" t="str">
        <f aca="false">IFERROR(__xludf.dummyfunction("""COMPUTED_VALUE"""),"31/07/2023")</f>
        <v>31/07/2023</v>
      </c>
      <c r="B8" s="2" t="n">
        <f aca="false">IFERROR(__xludf.dummyfunction("""COMPUTED_VALUE"""),3881470)</f>
        <v>3881470</v>
      </c>
      <c r="C8" s="1" t="str">
        <f aca="false">IFERROR(__xludf.dummyfunction("""COMPUTED_VALUE"""),"Julio")</f>
        <v>Julio</v>
      </c>
    </row>
    <row r="9" customFormat="false" ht="15.75" hidden="false" customHeight="false" outlineLevel="0" collapsed="false">
      <c r="A9" s="2" t="str">
        <f aca="false">IFERROR(__xludf.dummyfunction("""COMPUTED_VALUE"""),"31/08/2023")</f>
        <v>31/08/2023</v>
      </c>
      <c r="B9" s="2" t="n">
        <f aca="false">IFERROR(__xludf.dummyfunction("""COMPUTED_VALUE"""),4014831)</f>
        <v>4014831</v>
      </c>
      <c r="C9" s="1" t="str">
        <f aca="false">IFERROR(__xludf.dummyfunction("""COMPUTED_VALUE"""),"Agosto")</f>
        <v>Agosto</v>
      </c>
    </row>
    <row r="10" customFormat="false" ht="15.75" hidden="false" customHeight="false" outlineLevel="0" collapsed="false">
      <c r="A10" s="2" t="str">
        <f aca="false">IFERROR(__xludf.dummyfunction("""COMPUTED_VALUE"""),"30/09/2023")</f>
        <v>30/09/2023</v>
      </c>
      <c r="B10" s="2" t="n">
        <f aca="false">IFERROR(__xludf.dummyfunction("""COMPUTED_VALUE"""),3748248)</f>
        <v>3748248</v>
      </c>
      <c r="C10" s="1" t="str">
        <f aca="false">IFERROR(__xludf.dummyfunction("""COMPUTED_VALUE"""),"Septiembre")</f>
        <v>Septiembre</v>
      </c>
    </row>
    <row r="11" customFormat="false" ht="15.75" hidden="false" customHeight="false" outlineLevel="0" collapsed="false">
      <c r="A11" s="2" t="str">
        <f aca="false">IFERROR(__xludf.dummyfunction("""COMPUTED_VALUE"""),"31/10/2023")</f>
        <v>31/10/2023</v>
      </c>
      <c r="B11" s="2" t="n">
        <f aca="false">IFERROR(__xludf.dummyfunction("""COMPUTED_VALUE"""),1732262)</f>
        <v>1732262</v>
      </c>
      <c r="C11" s="1" t="str">
        <f aca="false">IFERROR(__xludf.dummyfunction("""COMPUTED_VALUE"""),"Octubre")</f>
        <v>Octubre</v>
      </c>
    </row>
    <row r="12" customFormat="false" ht="15.75" hidden="false" customHeight="false" outlineLevel="0" collapsed="false">
      <c r="A12" s="2" t="str">
        <f aca="false">IFERROR(__xludf.dummyfunction("""COMPUTED_VALUE"""),"30/11/2023")</f>
        <v>30/11/2023</v>
      </c>
      <c r="B12" s="2" t="n">
        <f aca="false">IFERROR(__xludf.dummyfunction("""COMPUTED_VALUE"""),1736718)</f>
        <v>1736718</v>
      </c>
      <c r="C12" s="1" t="str">
        <f aca="false">IFERROR(__xludf.dummyfunction("""COMPUTED_VALUE"""),"Noviembre")</f>
        <v>Noviembre</v>
      </c>
    </row>
    <row r="13" customFormat="false" ht="15.75" hidden="false" customHeight="false" outlineLevel="0" collapsed="false">
      <c r="A13" s="2" t="str">
        <f aca="false">IFERROR(__xludf.dummyfunction("""COMPUTED_VALUE"""),"31/12/2023")</f>
        <v>31/12/2023</v>
      </c>
      <c r="B13" s="2" t="n">
        <f aca="false">IFERROR(__xludf.dummyfunction("""COMPUTED_VALUE"""),1420130)</f>
        <v>1420130</v>
      </c>
      <c r="C13" s="1" t="str">
        <f aca="false">IFERROR(__xludf.dummyfunction("""COMPUTED_VALUE"""),"Diciembre")</f>
        <v>Diciembre</v>
      </c>
    </row>
    <row r="14" customFormat="false" ht="15.75" hidden="false" customHeight="false" outlineLevel="0" collapsed="false">
      <c r="A14" s="2" t="str">
        <f aca="false">IFERROR(__xludf.dummyfunction("""COMPUTED_VALUE"""),"31/01/2024")</f>
        <v>31/01/2024</v>
      </c>
      <c r="B14" s="2" t="n">
        <f aca="false">IFERROR(__xludf.dummyfunction("""COMPUTED_VALUE"""),2299171)</f>
        <v>2299171</v>
      </c>
      <c r="C14" s="1" t="str">
        <f aca="false">IFERROR(__xludf.dummyfunction("""COMPUTED_VALUE"""),"Enero")</f>
        <v>Enero</v>
      </c>
    </row>
    <row r="15" customFormat="false" ht="15.75" hidden="false" customHeight="false" outlineLevel="0" collapsed="false">
      <c r="A15" s="2" t="str">
        <f aca="false">IFERROR(__xludf.dummyfunction("""COMPUTED_VALUE"""),"28/02/2024")</f>
        <v>28/02/2024</v>
      </c>
      <c r="B15" s="2" t="n">
        <f aca="false">IFERROR(__xludf.dummyfunction("""COMPUTED_VALUE"""),3175200)</f>
        <v>3175200</v>
      </c>
      <c r="C15" s="1" t="str">
        <f aca="false">IFERROR(__xludf.dummyfunction("""COMPUTED_VALUE"""),"Febrero")</f>
        <v>Febrero</v>
      </c>
    </row>
    <row r="16" customFormat="false" ht="15.75" hidden="false" customHeight="false" outlineLevel="0" collapsed="false">
      <c r="A16" s="2" t="str">
        <f aca="false">IFERROR(__xludf.dummyfunction("""COMPUTED_VALUE"""),"31/03/2024")</f>
        <v>31/03/2024</v>
      </c>
      <c r="B16" s="2" t="n">
        <f aca="false">IFERROR(__xludf.dummyfunction("""COMPUTED_VALUE"""),2299171)</f>
        <v>2299171</v>
      </c>
      <c r="C16" s="1" t="str">
        <f aca="false">IFERROR(__xludf.dummyfunction("""COMPUTED_VALUE"""),"Marzo")</f>
        <v>Marzo</v>
      </c>
    </row>
    <row r="17" customFormat="false" ht="15.75" hidden="false" customHeight="false" outlineLevel="0" collapsed="false">
      <c r="A17" s="2" t="str">
        <f aca="false">IFERROR(__xludf.dummyfunction("""COMPUTED_VALUE"""),"30/04/2024")</f>
        <v>30/04/2024</v>
      </c>
      <c r="B17" s="2" t="n">
        <f aca="false">IFERROR(__xludf.dummyfunction("""COMPUTED_VALUE"""),2860023)</f>
        <v>2860023</v>
      </c>
      <c r="C17" s="1" t="str">
        <f aca="false">IFERROR(__xludf.dummyfunction("""COMPUTED_VALUE"""),"Abril")</f>
        <v>Abril</v>
      </c>
    </row>
    <row r="18" customFormat="false" ht="15.75" hidden="false" customHeight="false" outlineLevel="0" collapsed="false">
      <c r="A18" s="2" t="str">
        <f aca="false">IFERROR(__xludf.dummyfunction("""COMPUTED_VALUE"""),"31/05/2024")</f>
        <v>31/05/2024</v>
      </c>
      <c r="B18" s="2" t="n">
        <f aca="false">IFERROR(__xludf.dummyfunction("""COMPUTED_VALUE"""),1474270)</f>
        <v>1474270</v>
      </c>
      <c r="C18" s="1" t="str">
        <f aca="false">IFERROR(__xludf.dummyfunction("""COMPUTED_VALUE"""),"Mayo")</f>
        <v>Mayo</v>
      </c>
    </row>
    <row r="19" customFormat="false" ht="15.75" hidden="false" customHeight="false" outlineLevel="0" collapsed="false">
      <c r="A19" s="2" t="str">
        <f aca="false">IFERROR(__xludf.dummyfunction("""COMPUTED_VALUE"""),"30/06/2024")</f>
        <v>30/06/2024</v>
      </c>
      <c r="B19" s="2" t="n">
        <f aca="false">IFERROR(__xludf.dummyfunction("""COMPUTED_VALUE"""),1484180)</f>
        <v>1484180</v>
      </c>
      <c r="C19" s="1" t="str">
        <f aca="false">IFERROR(__xludf.dummyfunction("""COMPUTED_VALUE"""),"Junio")</f>
        <v>Junio</v>
      </c>
    </row>
    <row r="20" customFormat="false" ht="15.75" hidden="false" customHeight="false" outlineLevel="0" collapsed="false">
      <c r="A20" s="2" t="str">
        <f aca="false">IFERROR(__xludf.dummyfunction("""COMPUTED_VALUE"""),"31/07/2024")</f>
        <v>31/07/2024</v>
      </c>
      <c r="B20" s="2" t="n">
        <f aca="false">IFERROR(__xludf.dummyfunction("""COMPUTED_VALUE"""),938715)</f>
        <v>938715</v>
      </c>
      <c r="C20" s="1" t="str">
        <f aca="false">IFERROR(__xludf.dummyfunction("""COMPUTED_VALUE"""),"Julio")</f>
        <v>Julio</v>
      </c>
    </row>
    <row r="21" customFormat="false" ht="15.75" hidden="false" customHeight="false" outlineLevel="0" collapsed="false">
      <c r="A21" s="2" t="str">
        <f aca="false">IFERROR(__xludf.dummyfunction("""COMPUTED_VALUE"""),"31/08/2024")</f>
        <v>31/08/2024</v>
      </c>
      <c r="B21" s="2" t="n">
        <f aca="false">IFERROR(__xludf.dummyfunction("""COMPUTED_VALUE"""),2860023)</f>
        <v>2860023</v>
      </c>
      <c r="C21" s="1" t="str">
        <f aca="false">IFERROR(__xludf.dummyfunction("""COMPUTED_VALUE"""),"Agosto")</f>
        <v>Agosto</v>
      </c>
    </row>
    <row r="22" customFormat="false" ht="15.75" hidden="false" customHeight="false" outlineLevel="0" collapsed="false">
      <c r="A22" s="2" t="str">
        <f aca="false">IFERROR(__xludf.dummyfunction("""COMPUTED_VALUE"""),"30/09/2024")</f>
        <v>30/09/2024</v>
      </c>
      <c r="B22" s="2" t="n">
        <f aca="false">IFERROR(__xludf.dummyfunction("""COMPUTED_VALUE"""),1437620)</f>
        <v>1437620</v>
      </c>
      <c r="C22" s="1" t="str">
        <f aca="false">IFERROR(__xludf.dummyfunction("""COMPUTED_VALUE"""),"Septiembre")</f>
        <v>Septiembre</v>
      </c>
    </row>
    <row r="23" customFormat="false" ht="15.75" hidden="false" customHeight="false" outlineLevel="0" collapsed="false">
      <c r="A23" s="2" t="str">
        <f aca="false">IFERROR(__xludf.dummyfunction("""COMPUTED_VALUE"""),"31/10/2024")</f>
        <v>31/10/2024</v>
      </c>
      <c r="B23" s="2" t="n">
        <f aca="false">IFERROR(__xludf.dummyfunction("""COMPUTED_VALUE"""),1507035)</f>
        <v>1507035</v>
      </c>
      <c r="C23" s="1" t="str">
        <f aca="false">IFERROR(__xludf.dummyfunction("""COMPUTED_VALUE"""),"Octubre")</f>
        <v>Octubre</v>
      </c>
    </row>
    <row r="24" customFormat="false" ht="15.75" hidden="false" customHeight="false" outlineLevel="0" collapsed="false">
      <c r="A24" s="2" t="str">
        <f aca="false">IFERROR(__xludf.dummyfunction("""COMPUTED_VALUE"""),"30/11/2024")</f>
        <v>30/11/2024</v>
      </c>
      <c r="B24" s="2" t="n">
        <f aca="false">IFERROR(__xludf.dummyfunction("""COMPUTED_VALUE"""),0)</f>
        <v>0</v>
      </c>
      <c r="C24" s="1" t="str">
        <f aca="false">IFERROR(__xludf.dummyfunction("""COMPUTED_VALUE"""),"Noviembre")</f>
        <v>Noviembre</v>
      </c>
    </row>
    <row r="25" customFormat="false" ht="15.75" hidden="false" customHeight="false" outlineLevel="0" collapsed="false">
      <c r="A25" s="2" t="str">
        <f aca="false">IFERROR(__xludf.dummyfunction("""COMPUTED_VALUE"""),"31/12/2024")</f>
        <v>31/12/2024</v>
      </c>
      <c r="B25" s="2" t="n">
        <f aca="false">IFERROR(__xludf.dummyfunction("""COMPUTED_VALUE"""),0)</f>
        <v>0</v>
      </c>
      <c r="C25" s="1" t="str">
        <f aca="false">IFERROR(__xludf.dummyfunction("""COMPUTED_VALUE"""),"Diciembre")</f>
        <v>Diciembre</v>
      </c>
    </row>
    <row r="26" customFormat="false" ht="15.75" hidden="false" customHeight="false" outlineLevel="0" collapsed="false">
      <c r="A26" s="1"/>
      <c r="B26" s="1"/>
      <c r="C26" s="1"/>
    </row>
    <row r="27" customFormat="false" ht="15.75" hidden="false" customHeight="false" outlineLevel="0" collapsed="false">
      <c r="A27" s="1"/>
      <c r="B27" s="1"/>
      <c r="C27" s="1"/>
    </row>
    <row r="28" customFormat="false" ht="15.75" hidden="false" customHeight="false" outlineLevel="0" collapsed="false">
      <c r="A28" s="1"/>
      <c r="B28" s="1"/>
      <c r="C28" s="1"/>
    </row>
    <row r="29" customFormat="false" ht="15.75" hidden="false" customHeight="false" outlineLevel="0" collapsed="false">
      <c r="A29" s="1"/>
      <c r="B29" s="1"/>
      <c r="C29" s="1"/>
    </row>
    <row r="30" customFormat="false" ht="15.75" hidden="false" customHeight="false" outlineLevel="0" collapsed="false">
      <c r="A30" s="1"/>
      <c r="B30" s="1"/>
      <c r="C30" s="1"/>
    </row>
    <row r="31" customFormat="false" ht="15.75" hidden="false" customHeight="false" outlineLevel="0" collapsed="false">
      <c r="A31" s="1"/>
      <c r="B31" s="1"/>
      <c r="C31" s="1"/>
    </row>
    <row r="32" customFormat="false" ht="15.75" hidden="false" customHeight="false" outlineLevel="0" collapsed="false">
      <c r="A32" s="1"/>
      <c r="B32" s="1"/>
      <c r="C32" s="1"/>
    </row>
    <row r="33" customFormat="false" ht="15.75" hidden="false" customHeight="false" outlineLevel="0" collapsed="false">
      <c r="A33" s="1"/>
      <c r="B33" s="1"/>
      <c r="C33" s="1"/>
    </row>
    <row r="34" customFormat="false" ht="15.75" hidden="false" customHeight="false" outlineLevel="0" collapsed="false">
      <c r="A34" s="1"/>
      <c r="B34" s="1"/>
      <c r="C34" s="1"/>
    </row>
    <row r="35" customFormat="false" ht="15.75" hidden="false" customHeight="false" outlineLevel="0" collapsed="false">
      <c r="A35" s="1"/>
      <c r="B35" s="1"/>
      <c r="C35" s="1"/>
    </row>
    <row r="36" customFormat="false" ht="15.75" hidden="false" customHeight="false" outlineLevel="0" collapsed="false">
      <c r="A36" s="1"/>
      <c r="B36" s="1"/>
      <c r="C36" s="1"/>
    </row>
    <row r="37" customFormat="false" ht="15.75" hidden="false" customHeight="false" outlineLevel="0" collapsed="false">
      <c r="A37" s="1"/>
      <c r="B37" s="1"/>
      <c r="C37" s="1"/>
    </row>
    <row r="38" customFormat="false" ht="15.75" hidden="false" customHeight="false" outlineLevel="0" collapsed="false">
      <c r="A38" s="1"/>
      <c r="B38" s="1"/>
      <c r="C38" s="1"/>
    </row>
    <row r="39" customFormat="false" ht="15.75" hidden="false" customHeight="false" outlineLevel="0" collapsed="false">
      <c r="A39" s="1"/>
      <c r="B39" s="1"/>
      <c r="C39" s="1"/>
    </row>
    <row r="40" customFormat="false" ht="15.75" hidden="false" customHeight="false" outlineLevel="0" collapsed="false">
      <c r="A40" s="1"/>
      <c r="B40" s="1"/>
      <c r="C40" s="1"/>
    </row>
    <row r="41" customFormat="false" ht="15.75" hidden="false" customHeight="false" outlineLevel="0" collapsed="false">
      <c r="A41" s="1"/>
      <c r="B41" s="1"/>
      <c r="C41" s="1"/>
    </row>
    <row r="42" customFormat="false" ht="15.75" hidden="false" customHeight="false" outlineLevel="0" collapsed="false">
      <c r="A42" s="1"/>
      <c r="B42" s="1"/>
      <c r="C42" s="1"/>
    </row>
    <row r="43" customFormat="false" ht="15.75" hidden="false" customHeight="false" outlineLevel="0" collapsed="false">
      <c r="A43" s="1"/>
      <c r="B43" s="1"/>
      <c r="C43" s="1"/>
    </row>
    <row r="44" customFormat="false" ht="15.75" hidden="false" customHeight="false" outlineLevel="0" collapsed="false">
      <c r="A44" s="1"/>
      <c r="B44" s="1"/>
      <c r="C44" s="1"/>
    </row>
    <row r="45" customFormat="false" ht="15.75" hidden="false" customHeight="false" outlineLevel="0" collapsed="false">
      <c r="A45" s="1"/>
      <c r="B45" s="1"/>
      <c r="C45" s="1"/>
    </row>
    <row r="46" customFormat="false" ht="15.75" hidden="false" customHeight="false" outlineLevel="0" collapsed="false">
      <c r="A46" s="1"/>
      <c r="B46" s="1"/>
      <c r="C46" s="1"/>
    </row>
    <row r="47" customFormat="false" ht="15.75" hidden="false" customHeight="false" outlineLevel="0" collapsed="false">
      <c r="A47" s="1"/>
      <c r="B47" s="1"/>
      <c r="C47" s="1"/>
    </row>
    <row r="48" customFormat="false" ht="15.75" hidden="false" customHeight="false" outlineLevel="0" collapsed="false">
      <c r="A48" s="1"/>
      <c r="B48" s="1"/>
      <c r="C48" s="1"/>
    </row>
    <row r="49" customFormat="false" ht="15.75" hidden="false" customHeight="false" outlineLevel="0" collapsed="false">
      <c r="A49" s="1"/>
      <c r="B49" s="1"/>
      <c r="C49" s="1"/>
    </row>
    <row r="50" customFormat="false" ht="15.75" hidden="false" customHeight="false" outlineLevel="0" collapsed="false">
      <c r="A50" s="1"/>
      <c r="B50" s="1"/>
      <c r="C50" s="1"/>
    </row>
    <row r="51" customFormat="false" ht="15.75" hidden="false" customHeight="false" outlineLevel="0" collapsed="false">
      <c r="A51" s="1"/>
      <c r="B51" s="1"/>
      <c r="C51" s="1"/>
    </row>
    <row r="52" customFormat="false" ht="15.75" hidden="false" customHeight="false" outlineLevel="0" collapsed="false">
      <c r="A52" s="1"/>
      <c r="B52" s="1"/>
      <c r="C52" s="1"/>
    </row>
    <row r="53" customFormat="false" ht="15.75" hidden="false" customHeight="false" outlineLevel="0" collapsed="false">
      <c r="A53" s="1"/>
      <c r="B53" s="1"/>
      <c r="C53" s="1"/>
    </row>
    <row r="54" customFormat="false" ht="15.75" hidden="false" customHeight="false" outlineLevel="0" collapsed="false">
      <c r="A54" s="1"/>
      <c r="B54" s="1"/>
      <c r="C54" s="1"/>
    </row>
    <row r="55" customFormat="false" ht="15.75" hidden="false" customHeight="false" outlineLevel="0" collapsed="false">
      <c r="A55" s="1"/>
      <c r="B55" s="1"/>
      <c r="C55" s="1"/>
    </row>
    <row r="56" customFormat="false" ht="15.75" hidden="false" customHeight="false" outlineLevel="0" collapsed="false">
      <c r="A56" s="1"/>
      <c r="B56" s="1"/>
      <c r="C56" s="1"/>
    </row>
    <row r="57" customFormat="false" ht="15.75" hidden="false" customHeight="false" outlineLevel="0" collapsed="false">
      <c r="A57" s="1"/>
      <c r="B57" s="1"/>
      <c r="C57" s="1"/>
    </row>
    <row r="58" customFormat="false" ht="15.75" hidden="false" customHeight="false" outlineLevel="0" collapsed="false">
      <c r="A58" s="1"/>
      <c r="B58" s="1"/>
      <c r="C58" s="1"/>
    </row>
    <row r="59" customFormat="false" ht="15.75" hidden="false" customHeight="false" outlineLevel="0" collapsed="false">
      <c r="A59" s="1"/>
      <c r="B59" s="1"/>
      <c r="C59" s="1"/>
    </row>
    <row r="60" customFormat="false" ht="15.75" hidden="false" customHeight="false" outlineLevel="0" collapsed="false">
      <c r="A60" s="1"/>
      <c r="B60" s="1"/>
      <c r="C60" s="1"/>
    </row>
    <row r="61" customFormat="false" ht="15.75" hidden="false" customHeight="false" outlineLevel="0" collapsed="false">
      <c r="A61" s="1"/>
      <c r="B61" s="1"/>
      <c r="C61" s="1"/>
    </row>
    <row r="62" customFormat="false" ht="15.75" hidden="false" customHeight="false" outlineLevel="0" collapsed="false">
      <c r="A62" s="1"/>
      <c r="B62" s="1"/>
      <c r="C62" s="1"/>
    </row>
    <row r="63" customFormat="false" ht="15.75" hidden="false" customHeight="false" outlineLevel="0" collapsed="false">
      <c r="A63" s="1"/>
      <c r="B63" s="1"/>
      <c r="C63" s="1"/>
    </row>
    <row r="64" customFormat="false" ht="15.75" hidden="false" customHeight="false" outlineLevel="0" collapsed="false">
      <c r="A64" s="1"/>
      <c r="B64" s="1"/>
      <c r="C64" s="1"/>
    </row>
    <row r="65" customFormat="false" ht="15.75" hidden="false" customHeight="false" outlineLevel="0" collapsed="false">
      <c r="A65" s="1"/>
      <c r="B65" s="1"/>
      <c r="C65" s="1"/>
    </row>
    <row r="66" customFormat="false" ht="15.75" hidden="false" customHeight="false" outlineLevel="0" collapsed="false">
      <c r="A66" s="1"/>
      <c r="B66" s="1"/>
      <c r="C66" s="1"/>
    </row>
    <row r="67" customFormat="false" ht="15.75" hidden="false" customHeight="false" outlineLevel="0" collapsed="false">
      <c r="A67" s="1"/>
      <c r="B67" s="1"/>
      <c r="C67" s="1"/>
    </row>
    <row r="68" customFormat="false" ht="15.75" hidden="false" customHeight="false" outlineLevel="0" collapsed="false">
      <c r="A68" s="1"/>
      <c r="B68" s="1"/>
      <c r="C68" s="1"/>
    </row>
    <row r="69" customFormat="false" ht="15.75" hidden="false" customHeight="false" outlineLevel="0" collapsed="false">
      <c r="A69" s="1"/>
      <c r="B69" s="1"/>
      <c r="C69" s="1"/>
    </row>
    <row r="70" customFormat="false" ht="15.75" hidden="false" customHeight="false" outlineLevel="0" collapsed="false">
      <c r="A70" s="1"/>
      <c r="B70" s="1"/>
      <c r="C70" s="1"/>
    </row>
    <row r="71" customFormat="false" ht="15.75" hidden="false" customHeight="false" outlineLevel="0" collapsed="false">
      <c r="A71" s="1"/>
      <c r="B71" s="1"/>
      <c r="C71" s="1"/>
    </row>
    <row r="72" customFormat="false" ht="15.75" hidden="false" customHeight="false" outlineLevel="0" collapsed="false">
      <c r="A72" s="1"/>
      <c r="B72" s="1"/>
      <c r="C72" s="1"/>
    </row>
    <row r="73" customFormat="false" ht="15.75" hidden="false" customHeight="false" outlineLevel="0" collapsed="false">
      <c r="A73" s="1"/>
      <c r="B73" s="1"/>
      <c r="C73" s="1"/>
    </row>
    <row r="74" customFormat="false" ht="15.75" hidden="false" customHeight="false" outlineLevel="0" collapsed="false">
      <c r="A74" s="1"/>
      <c r="B74" s="1"/>
      <c r="C74" s="1"/>
    </row>
    <row r="75" customFormat="false" ht="15.75" hidden="false" customHeight="false" outlineLevel="0" collapsed="false">
      <c r="A75" s="1"/>
      <c r="B75" s="1"/>
      <c r="C75" s="1"/>
    </row>
    <row r="76" customFormat="false" ht="15.75" hidden="false" customHeight="false" outlineLevel="0" collapsed="false">
      <c r="A76" s="1"/>
      <c r="B76" s="1"/>
      <c r="C76" s="1"/>
    </row>
    <row r="77" customFormat="false" ht="15.75" hidden="false" customHeight="false" outlineLevel="0" collapsed="false">
      <c r="A77" s="1"/>
      <c r="B77" s="1"/>
      <c r="C77" s="1"/>
    </row>
    <row r="78" customFormat="false" ht="15.75" hidden="false" customHeight="false" outlineLevel="0" collapsed="false">
      <c r="A78" s="1"/>
      <c r="B78" s="1"/>
      <c r="C78" s="1"/>
    </row>
    <row r="79" customFormat="false" ht="15.75" hidden="false" customHeight="false" outlineLevel="0" collapsed="false">
      <c r="A79" s="1"/>
      <c r="B79" s="1"/>
      <c r="C79" s="1"/>
    </row>
    <row r="80" customFormat="false" ht="15.75" hidden="false" customHeight="false" outlineLevel="0" collapsed="false">
      <c r="A80" s="1"/>
      <c r="B80" s="1"/>
      <c r="C80" s="1"/>
    </row>
    <row r="81" customFormat="false" ht="15.75" hidden="false" customHeight="false" outlineLevel="0" collapsed="false">
      <c r="A81" s="1"/>
      <c r="B81" s="1"/>
      <c r="C81" s="1"/>
    </row>
    <row r="82" customFormat="false" ht="15.75" hidden="false" customHeight="false" outlineLevel="0" collapsed="false">
      <c r="A82" s="1"/>
      <c r="B82" s="1"/>
      <c r="C82" s="1"/>
    </row>
    <row r="83" customFormat="false" ht="15.75" hidden="false" customHeight="false" outlineLevel="0" collapsed="false">
      <c r="A83" s="1"/>
      <c r="B83" s="1"/>
      <c r="C83" s="1"/>
    </row>
    <row r="84" customFormat="false" ht="15.75" hidden="false" customHeight="false" outlineLevel="0" collapsed="false">
      <c r="A84" s="1"/>
      <c r="B84" s="1"/>
      <c r="C84" s="1"/>
    </row>
    <row r="85" customFormat="false" ht="15.75" hidden="false" customHeight="false" outlineLevel="0" collapsed="false">
      <c r="A85" s="1"/>
      <c r="B85" s="1"/>
      <c r="C85" s="1"/>
    </row>
    <row r="86" customFormat="false" ht="15.75" hidden="false" customHeight="false" outlineLevel="0" collapsed="false">
      <c r="A86" s="1"/>
      <c r="B86" s="1"/>
      <c r="C86" s="1"/>
    </row>
    <row r="87" customFormat="false" ht="15.75" hidden="false" customHeight="false" outlineLevel="0" collapsed="false">
      <c r="A87" s="1"/>
      <c r="B87" s="1"/>
      <c r="C87" s="1"/>
    </row>
    <row r="88" customFormat="false" ht="15.75" hidden="false" customHeight="false" outlineLevel="0" collapsed="false">
      <c r="A88" s="1"/>
      <c r="B88" s="1"/>
      <c r="C88" s="1"/>
    </row>
    <row r="89" customFormat="false" ht="15.75" hidden="false" customHeight="false" outlineLevel="0" collapsed="false">
      <c r="A89" s="1"/>
      <c r="B89" s="1"/>
      <c r="C89" s="1"/>
    </row>
    <row r="90" customFormat="false" ht="15.75" hidden="false" customHeight="false" outlineLevel="0" collapsed="false">
      <c r="A90" s="1"/>
      <c r="B90" s="1"/>
      <c r="C90" s="1"/>
    </row>
    <row r="91" customFormat="false" ht="15.75" hidden="false" customHeight="false" outlineLevel="0" collapsed="false">
      <c r="A91" s="1"/>
      <c r="B91" s="1"/>
      <c r="C91" s="1"/>
    </row>
    <row r="92" customFormat="false" ht="15.75" hidden="false" customHeight="false" outlineLevel="0" collapsed="false">
      <c r="A92" s="1"/>
      <c r="B92" s="1"/>
      <c r="C92" s="1"/>
    </row>
    <row r="93" customFormat="false" ht="15.75" hidden="false" customHeight="false" outlineLevel="0" collapsed="false">
      <c r="A93" s="1"/>
      <c r="B93" s="1"/>
      <c r="C93" s="1"/>
    </row>
    <row r="94" customFormat="false" ht="15.75" hidden="false" customHeight="false" outlineLevel="0" collapsed="false">
      <c r="A94" s="1"/>
      <c r="B94" s="1"/>
      <c r="C94" s="1"/>
    </row>
    <row r="95" customFormat="false" ht="15.75" hidden="false" customHeight="false" outlineLevel="0" collapsed="false">
      <c r="A95" s="1"/>
      <c r="B95" s="1"/>
      <c r="C95" s="1"/>
    </row>
    <row r="96" customFormat="false" ht="15.75" hidden="false" customHeight="false" outlineLevel="0" collapsed="false">
      <c r="A96" s="1"/>
      <c r="B96" s="1"/>
      <c r="C96" s="1"/>
    </row>
    <row r="97" customFormat="false" ht="15.75" hidden="false" customHeight="false" outlineLevel="0" collapsed="false">
      <c r="A97" s="1"/>
      <c r="B97" s="1"/>
      <c r="C97" s="1"/>
    </row>
    <row r="98" customFormat="false" ht="15.75" hidden="false" customHeight="false" outlineLevel="0" collapsed="false">
      <c r="A98" s="1"/>
      <c r="B98" s="1"/>
      <c r="C98" s="1"/>
    </row>
    <row r="99" customFormat="false" ht="15.75" hidden="false" customHeight="false" outlineLevel="0" collapsed="false">
      <c r="A99" s="1"/>
      <c r="B99" s="1"/>
      <c r="C99" s="1"/>
    </row>
    <row r="100" customFormat="false" ht="15.75" hidden="false" customHeight="false" outlineLevel="0" collapsed="false">
      <c r="A100" s="1"/>
      <c r="B100" s="1"/>
      <c r="C100" s="1"/>
    </row>
    <row r="101" customFormat="false" ht="15.75" hidden="false" customHeight="false" outlineLevel="0" collapsed="false">
      <c r="A101" s="1"/>
      <c r="B101" s="1"/>
      <c r="C101" s="1"/>
    </row>
    <row r="102" customFormat="false" ht="15.75" hidden="false" customHeight="false" outlineLevel="0" collapsed="false">
      <c r="A102" s="1"/>
      <c r="B102" s="1"/>
      <c r="C102" s="1"/>
    </row>
    <row r="103" customFormat="false" ht="15.75" hidden="false" customHeight="false" outlineLevel="0" collapsed="false">
      <c r="A103" s="1"/>
      <c r="B103" s="1"/>
      <c r="C103" s="1"/>
    </row>
    <row r="104" customFormat="false" ht="15.75" hidden="false" customHeight="false" outlineLevel="0" collapsed="false">
      <c r="A104" s="1"/>
      <c r="B104" s="1"/>
      <c r="C104" s="1"/>
    </row>
    <row r="105" customFormat="false" ht="15.75" hidden="false" customHeight="false" outlineLevel="0" collapsed="false">
      <c r="A105" s="1"/>
      <c r="B105" s="1"/>
      <c r="C105" s="1"/>
    </row>
    <row r="106" customFormat="false" ht="15.75" hidden="false" customHeight="false" outlineLevel="0" collapsed="false">
      <c r="A106" s="1"/>
      <c r="B106" s="1"/>
      <c r="C106" s="1"/>
    </row>
    <row r="107" customFormat="false" ht="15.75" hidden="false" customHeight="false" outlineLevel="0" collapsed="false">
      <c r="A107" s="1"/>
      <c r="B107" s="1"/>
      <c r="C107" s="1"/>
    </row>
    <row r="108" customFormat="false" ht="15.75" hidden="false" customHeight="false" outlineLevel="0" collapsed="false">
      <c r="A108" s="1"/>
      <c r="B108" s="1"/>
      <c r="C108" s="1"/>
    </row>
    <row r="109" customFormat="false" ht="15.75" hidden="false" customHeight="false" outlineLevel="0" collapsed="false">
      <c r="A109" s="1"/>
      <c r="B109" s="1"/>
      <c r="C109" s="1"/>
    </row>
    <row r="110" customFormat="false" ht="15.75" hidden="false" customHeight="false" outlineLevel="0" collapsed="false">
      <c r="A110" s="1"/>
      <c r="B110" s="1"/>
      <c r="C110" s="1"/>
    </row>
    <row r="111" customFormat="false" ht="15.75" hidden="false" customHeight="false" outlineLevel="0" collapsed="false">
      <c r="A111" s="1"/>
      <c r="B111" s="1"/>
      <c r="C111" s="1"/>
    </row>
    <row r="112" customFormat="false" ht="15.75" hidden="false" customHeight="false" outlineLevel="0" collapsed="false">
      <c r="A112" s="1"/>
      <c r="B112" s="1"/>
      <c r="C112" s="1"/>
    </row>
    <row r="113" customFormat="false" ht="15.75" hidden="false" customHeight="false" outlineLevel="0" collapsed="false">
      <c r="A113" s="1"/>
      <c r="B113" s="1"/>
      <c r="C113" s="1"/>
    </row>
    <row r="114" customFormat="false" ht="15.75" hidden="false" customHeight="false" outlineLevel="0" collapsed="false">
      <c r="A114" s="1"/>
      <c r="B114" s="1"/>
      <c r="C114" s="1"/>
    </row>
    <row r="115" customFormat="false" ht="15.75" hidden="false" customHeight="false" outlineLevel="0" collapsed="false">
      <c r="A115" s="1"/>
      <c r="B115" s="1"/>
      <c r="C115" s="1"/>
    </row>
    <row r="116" customFormat="false" ht="15.75" hidden="false" customHeight="false" outlineLevel="0" collapsed="false">
      <c r="A116" s="1"/>
      <c r="B116" s="1"/>
      <c r="C116" s="1"/>
    </row>
    <row r="117" customFormat="false" ht="15.75" hidden="false" customHeight="false" outlineLevel="0" collapsed="false">
      <c r="A117" s="1"/>
      <c r="B117" s="1"/>
      <c r="C117" s="1"/>
    </row>
    <row r="118" customFormat="false" ht="15.75" hidden="false" customHeight="false" outlineLevel="0" collapsed="false">
      <c r="A118" s="1"/>
      <c r="B118" s="1"/>
      <c r="C118" s="1"/>
    </row>
    <row r="119" customFormat="false" ht="15.75" hidden="false" customHeight="false" outlineLevel="0" collapsed="false">
      <c r="A119" s="1"/>
      <c r="B119" s="1"/>
      <c r="C119" s="1"/>
    </row>
    <row r="120" customFormat="false" ht="15.75" hidden="false" customHeight="false" outlineLevel="0" collapsed="false">
      <c r="A120" s="1"/>
      <c r="B120" s="1"/>
      <c r="C120" s="1"/>
    </row>
    <row r="121" customFormat="false" ht="15.75" hidden="false" customHeight="false" outlineLevel="0" collapsed="false">
      <c r="A121" s="1"/>
      <c r="B121" s="1"/>
      <c r="C121" s="1"/>
    </row>
    <row r="122" customFormat="false" ht="15.75" hidden="false" customHeight="false" outlineLevel="0" collapsed="false">
      <c r="A122" s="1"/>
      <c r="B122" s="1"/>
      <c r="C122" s="1"/>
    </row>
    <row r="123" customFormat="false" ht="15.75" hidden="false" customHeight="false" outlineLevel="0" collapsed="false">
      <c r="A123" s="1"/>
      <c r="B123" s="1"/>
      <c r="C123" s="1"/>
    </row>
    <row r="124" customFormat="false" ht="15.75" hidden="false" customHeight="false" outlineLevel="0" collapsed="false">
      <c r="A124" s="1"/>
      <c r="B124" s="1"/>
      <c r="C124" s="1"/>
    </row>
    <row r="125" customFormat="false" ht="15.75" hidden="false" customHeight="false" outlineLevel="0" collapsed="false">
      <c r="A125" s="1"/>
      <c r="B125" s="1"/>
      <c r="C125" s="1"/>
    </row>
    <row r="126" customFormat="false" ht="15.75" hidden="false" customHeight="false" outlineLevel="0" collapsed="false">
      <c r="A126" s="1"/>
      <c r="B126" s="1"/>
      <c r="C126" s="1"/>
    </row>
    <row r="127" customFormat="false" ht="15.75" hidden="false" customHeight="false" outlineLevel="0" collapsed="false">
      <c r="A127" s="1"/>
      <c r="B127" s="1"/>
      <c r="C127" s="1"/>
    </row>
    <row r="128" customFormat="false" ht="15.75" hidden="false" customHeight="false" outlineLevel="0" collapsed="false">
      <c r="A128" s="1"/>
      <c r="B128" s="1"/>
      <c r="C128" s="1"/>
    </row>
    <row r="129" customFormat="false" ht="15.75" hidden="false" customHeight="false" outlineLevel="0" collapsed="false">
      <c r="A129" s="1"/>
      <c r="B129" s="1"/>
      <c r="C129" s="1"/>
    </row>
    <row r="130" customFormat="false" ht="15.75" hidden="false" customHeight="false" outlineLevel="0" collapsed="false">
      <c r="A130" s="1"/>
      <c r="B130" s="1"/>
      <c r="C130" s="1"/>
    </row>
    <row r="131" customFormat="false" ht="15.75" hidden="false" customHeight="false" outlineLevel="0" collapsed="false">
      <c r="A131" s="1"/>
      <c r="B131" s="1"/>
      <c r="C131" s="1"/>
    </row>
    <row r="132" customFormat="false" ht="15.75" hidden="false" customHeight="false" outlineLevel="0" collapsed="false">
      <c r="A132" s="1"/>
      <c r="B132" s="1"/>
      <c r="C132" s="1"/>
    </row>
    <row r="133" customFormat="false" ht="15.75" hidden="false" customHeight="false" outlineLevel="0" collapsed="false">
      <c r="A133" s="1"/>
      <c r="B133" s="1"/>
      <c r="C133" s="1"/>
    </row>
    <row r="134" customFormat="false" ht="15.75" hidden="false" customHeight="false" outlineLevel="0" collapsed="false">
      <c r="A134" s="1"/>
      <c r="B134" s="1"/>
      <c r="C134" s="1"/>
    </row>
    <row r="135" customFormat="false" ht="15.75" hidden="false" customHeight="false" outlineLevel="0" collapsed="false">
      <c r="A135" s="1"/>
      <c r="B135" s="1"/>
      <c r="C135" s="1"/>
    </row>
    <row r="136" customFormat="false" ht="15.75" hidden="false" customHeight="false" outlineLevel="0" collapsed="false">
      <c r="A136" s="1"/>
      <c r="B136" s="1"/>
      <c r="C136" s="1"/>
    </row>
    <row r="137" customFormat="false" ht="15.75" hidden="false" customHeight="false" outlineLevel="0" collapsed="false">
      <c r="A137" s="1"/>
      <c r="B137" s="1"/>
      <c r="C137" s="1"/>
    </row>
    <row r="138" customFormat="false" ht="15.75" hidden="false" customHeight="false" outlineLevel="0" collapsed="false">
      <c r="A138" s="1"/>
      <c r="B138" s="1"/>
      <c r="C138" s="1"/>
    </row>
    <row r="139" customFormat="false" ht="15.75" hidden="false" customHeight="false" outlineLevel="0" collapsed="false">
      <c r="A139" s="1"/>
      <c r="B139" s="1"/>
      <c r="C139" s="1"/>
    </row>
    <row r="140" customFormat="false" ht="15.75" hidden="false" customHeight="false" outlineLevel="0" collapsed="false">
      <c r="A140" s="1"/>
      <c r="B140" s="1"/>
      <c r="C140" s="1"/>
    </row>
    <row r="141" customFormat="false" ht="15.75" hidden="false" customHeight="false" outlineLevel="0" collapsed="false">
      <c r="A141" s="1"/>
      <c r="B141" s="1"/>
      <c r="C141" s="1"/>
    </row>
    <row r="142" customFormat="false" ht="15.75" hidden="false" customHeight="false" outlineLevel="0" collapsed="false">
      <c r="A142" s="1"/>
      <c r="B142" s="1"/>
      <c r="C142" s="1"/>
    </row>
    <row r="143" customFormat="false" ht="15.75" hidden="false" customHeight="false" outlineLevel="0" collapsed="false">
      <c r="A143" s="1"/>
      <c r="B143" s="1"/>
      <c r="C143" s="1"/>
    </row>
    <row r="144" customFormat="false" ht="15.75" hidden="false" customHeight="false" outlineLevel="0" collapsed="false">
      <c r="A144" s="1"/>
      <c r="B144" s="1"/>
      <c r="C144" s="1"/>
    </row>
    <row r="145" customFormat="false" ht="15.75" hidden="false" customHeight="false" outlineLevel="0" collapsed="false">
      <c r="A145" s="1"/>
      <c r="B145" s="1"/>
      <c r="C145" s="1"/>
    </row>
    <row r="146" customFormat="false" ht="15.75" hidden="false" customHeight="false" outlineLevel="0" collapsed="false">
      <c r="A146" s="1"/>
      <c r="B146" s="1"/>
      <c r="C146" s="1"/>
    </row>
    <row r="147" customFormat="false" ht="15.75" hidden="false" customHeight="false" outlineLevel="0" collapsed="false">
      <c r="A147" s="1"/>
      <c r="B147" s="1"/>
      <c r="C147" s="1"/>
    </row>
    <row r="148" customFormat="false" ht="15.75" hidden="false" customHeight="false" outlineLevel="0" collapsed="false">
      <c r="A148" s="1"/>
      <c r="B148" s="1"/>
      <c r="C148" s="1"/>
    </row>
    <row r="149" customFormat="false" ht="15.75" hidden="false" customHeight="false" outlineLevel="0" collapsed="false">
      <c r="A149" s="1"/>
      <c r="B149" s="1"/>
      <c r="C149" s="1"/>
    </row>
    <row r="150" customFormat="false" ht="15.75" hidden="false" customHeight="false" outlineLevel="0" collapsed="false">
      <c r="A150" s="1"/>
      <c r="B150" s="1"/>
      <c r="C150" s="1"/>
    </row>
    <row r="151" customFormat="false" ht="15.75" hidden="false" customHeight="false" outlineLevel="0" collapsed="false">
      <c r="A151" s="1"/>
      <c r="B151" s="1"/>
      <c r="C151" s="1"/>
    </row>
    <row r="152" customFormat="false" ht="15.75" hidden="false" customHeight="false" outlineLevel="0" collapsed="false">
      <c r="A152" s="1"/>
      <c r="B152" s="1"/>
      <c r="C152" s="1"/>
    </row>
    <row r="153" customFormat="false" ht="15.75" hidden="false" customHeight="false" outlineLevel="0" collapsed="false">
      <c r="A153" s="1"/>
      <c r="B153" s="1"/>
      <c r="C153" s="1"/>
    </row>
    <row r="154" customFormat="false" ht="15.75" hidden="false" customHeight="false" outlineLevel="0" collapsed="false">
      <c r="A154" s="1"/>
      <c r="B154" s="1"/>
      <c r="C154" s="1"/>
    </row>
    <row r="155" customFormat="false" ht="15.75" hidden="false" customHeight="false" outlineLevel="0" collapsed="false">
      <c r="A155" s="1"/>
      <c r="B155" s="1"/>
      <c r="C155" s="1"/>
    </row>
    <row r="156" customFormat="false" ht="15.75" hidden="false" customHeight="false" outlineLevel="0" collapsed="false">
      <c r="A156" s="1"/>
      <c r="B156" s="1"/>
      <c r="C156" s="1"/>
    </row>
    <row r="157" customFormat="false" ht="15.75" hidden="false" customHeight="false" outlineLevel="0" collapsed="false">
      <c r="A157" s="1"/>
      <c r="B157" s="1"/>
      <c r="C157" s="1"/>
    </row>
    <row r="158" customFormat="false" ht="15.75" hidden="false" customHeight="false" outlineLevel="0" collapsed="false">
      <c r="A158" s="1"/>
      <c r="B158" s="1"/>
      <c r="C158" s="1"/>
    </row>
    <row r="159" customFormat="false" ht="15.75" hidden="false" customHeight="false" outlineLevel="0" collapsed="false">
      <c r="A159" s="1"/>
      <c r="B159" s="1"/>
      <c r="C159" s="1"/>
    </row>
    <row r="160" customFormat="false" ht="15.75" hidden="false" customHeight="false" outlineLevel="0" collapsed="false">
      <c r="A160" s="1"/>
      <c r="B160" s="1"/>
      <c r="C160" s="1"/>
    </row>
    <row r="161" customFormat="false" ht="15.75" hidden="false" customHeight="false" outlineLevel="0" collapsed="false">
      <c r="A161" s="1"/>
      <c r="B161" s="1"/>
      <c r="C161" s="1"/>
    </row>
    <row r="162" customFormat="false" ht="15.75" hidden="false" customHeight="false" outlineLevel="0" collapsed="false">
      <c r="A162" s="1"/>
      <c r="B162" s="1"/>
      <c r="C162" s="1"/>
    </row>
    <row r="163" customFormat="false" ht="15.75" hidden="false" customHeight="false" outlineLevel="0" collapsed="false">
      <c r="A163" s="1"/>
      <c r="B163" s="1"/>
      <c r="C163" s="1"/>
    </row>
    <row r="164" customFormat="false" ht="15.75" hidden="false" customHeight="false" outlineLevel="0" collapsed="false">
      <c r="A164" s="1"/>
      <c r="B164" s="1"/>
      <c r="C164" s="1"/>
    </row>
    <row r="165" customFormat="false" ht="15.75" hidden="false" customHeight="false" outlineLevel="0" collapsed="false">
      <c r="A165" s="1"/>
      <c r="B165" s="1"/>
      <c r="C165" s="1"/>
    </row>
    <row r="166" customFormat="false" ht="15.75" hidden="false" customHeight="false" outlineLevel="0" collapsed="false">
      <c r="A166" s="1"/>
      <c r="B166" s="1"/>
      <c r="C166" s="1"/>
    </row>
    <row r="167" customFormat="false" ht="15.75" hidden="false" customHeight="false" outlineLevel="0" collapsed="false">
      <c r="A167" s="1"/>
      <c r="B167" s="1"/>
      <c r="C167" s="1"/>
    </row>
    <row r="168" customFormat="false" ht="15.75" hidden="false" customHeight="false" outlineLevel="0" collapsed="false">
      <c r="A168" s="1"/>
      <c r="B168" s="1"/>
      <c r="C168" s="1"/>
    </row>
    <row r="169" customFormat="false" ht="15.75" hidden="false" customHeight="false" outlineLevel="0" collapsed="false">
      <c r="A169" s="1"/>
      <c r="B169" s="1"/>
      <c r="C169" s="1"/>
    </row>
    <row r="170" customFormat="false" ht="15.75" hidden="false" customHeight="false" outlineLevel="0" collapsed="false">
      <c r="A170" s="1"/>
      <c r="B170" s="1"/>
      <c r="C170" s="1"/>
    </row>
    <row r="171" customFormat="false" ht="15.75" hidden="false" customHeight="false" outlineLevel="0" collapsed="false">
      <c r="A171" s="1"/>
      <c r="B171" s="1"/>
      <c r="C171" s="1"/>
    </row>
    <row r="172" customFormat="false" ht="15.75" hidden="false" customHeight="false" outlineLevel="0" collapsed="false">
      <c r="A172" s="1"/>
      <c r="B172" s="1"/>
      <c r="C172" s="1"/>
    </row>
    <row r="173" customFormat="false" ht="15.75" hidden="false" customHeight="false" outlineLevel="0" collapsed="false">
      <c r="A173" s="1"/>
      <c r="B173" s="1"/>
      <c r="C173" s="1"/>
    </row>
    <row r="174" customFormat="false" ht="15.75" hidden="false" customHeight="false" outlineLevel="0" collapsed="false">
      <c r="A174" s="1"/>
      <c r="B174" s="1"/>
      <c r="C174" s="1"/>
    </row>
    <row r="175" customFormat="false" ht="15.75" hidden="false" customHeight="false" outlineLevel="0" collapsed="false">
      <c r="A175" s="1"/>
      <c r="B175" s="1"/>
      <c r="C175" s="1"/>
    </row>
    <row r="176" customFormat="false" ht="15.75" hidden="false" customHeight="false" outlineLevel="0" collapsed="false">
      <c r="A176" s="1"/>
      <c r="B176" s="1"/>
      <c r="C176" s="1"/>
    </row>
    <row r="177" customFormat="false" ht="15.75" hidden="false" customHeight="false" outlineLevel="0" collapsed="false">
      <c r="A177" s="1"/>
      <c r="B177" s="1"/>
      <c r="C177" s="1"/>
    </row>
    <row r="178" customFormat="false" ht="15.75" hidden="false" customHeight="false" outlineLevel="0" collapsed="false">
      <c r="A178" s="1"/>
      <c r="B178" s="1"/>
      <c r="C178" s="1"/>
    </row>
    <row r="179" customFormat="false" ht="15.75" hidden="false" customHeight="false" outlineLevel="0" collapsed="false">
      <c r="A179" s="1"/>
      <c r="B179" s="1"/>
      <c r="C179" s="1"/>
    </row>
    <row r="180" customFormat="false" ht="15.75" hidden="false" customHeight="false" outlineLevel="0" collapsed="false">
      <c r="A180" s="1"/>
      <c r="B180" s="1"/>
      <c r="C180" s="1"/>
    </row>
    <row r="181" customFormat="false" ht="15.75" hidden="false" customHeight="false" outlineLevel="0" collapsed="false">
      <c r="A181" s="1"/>
      <c r="B181" s="1"/>
      <c r="C181" s="1"/>
    </row>
    <row r="182" customFormat="false" ht="15.75" hidden="false" customHeight="false" outlineLevel="0" collapsed="false">
      <c r="A182" s="1"/>
      <c r="B182" s="1"/>
      <c r="C182" s="1"/>
    </row>
    <row r="183" customFormat="false" ht="15.75" hidden="false" customHeight="false" outlineLevel="0" collapsed="false">
      <c r="A183" s="1"/>
      <c r="B183" s="1"/>
      <c r="C183" s="1"/>
    </row>
    <row r="184" customFormat="false" ht="15.75" hidden="false" customHeight="false" outlineLevel="0" collapsed="false">
      <c r="A184" s="1"/>
      <c r="B184" s="1"/>
      <c r="C184" s="1"/>
    </row>
    <row r="185" customFormat="false" ht="15.75" hidden="false" customHeight="false" outlineLevel="0" collapsed="false">
      <c r="A185" s="1"/>
      <c r="B185" s="1"/>
      <c r="C185" s="1"/>
    </row>
    <row r="186" customFormat="false" ht="15.75" hidden="false" customHeight="false" outlineLevel="0" collapsed="false">
      <c r="A186" s="1"/>
      <c r="B186" s="1"/>
      <c r="C186" s="1"/>
    </row>
    <row r="187" customFormat="false" ht="15.75" hidden="false" customHeight="false" outlineLevel="0" collapsed="false">
      <c r="A187" s="1"/>
      <c r="B187" s="1"/>
      <c r="C187" s="1"/>
    </row>
    <row r="188" customFormat="false" ht="15.75" hidden="false" customHeight="false" outlineLevel="0" collapsed="false">
      <c r="A188" s="1"/>
      <c r="B188" s="1"/>
      <c r="C188" s="1"/>
    </row>
    <row r="189" customFormat="false" ht="15.75" hidden="false" customHeight="false" outlineLevel="0" collapsed="false">
      <c r="A189" s="1"/>
      <c r="B189" s="1"/>
      <c r="C189" s="1"/>
    </row>
    <row r="190" customFormat="false" ht="15.75" hidden="false" customHeight="false" outlineLevel="0" collapsed="false">
      <c r="A190" s="1"/>
      <c r="B190" s="1"/>
      <c r="C190" s="1"/>
    </row>
    <row r="191" customFormat="false" ht="15.75" hidden="false" customHeight="false" outlineLevel="0" collapsed="false">
      <c r="A191" s="1"/>
      <c r="B191" s="1"/>
      <c r="C191" s="1"/>
    </row>
    <row r="192" customFormat="false" ht="15.75" hidden="false" customHeight="false" outlineLevel="0" collapsed="false">
      <c r="A192" s="1"/>
      <c r="B192" s="1"/>
      <c r="C192" s="1"/>
    </row>
    <row r="193" customFormat="false" ht="15.75" hidden="false" customHeight="false" outlineLevel="0" collapsed="false">
      <c r="A193" s="1"/>
      <c r="B193" s="1"/>
      <c r="C193" s="1"/>
    </row>
    <row r="194" customFormat="false" ht="15.75" hidden="false" customHeight="false" outlineLevel="0" collapsed="false">
      <c r="A194" s="1"/>
      <c r="B194" s="1"/>
      <c r="C194" s="1"/>
    </row>
    <row r="195" customFormat="false" ht="15.75" hidden="false" customHeight="false" outlineLevel="0" collapsed="false">
      <c r="A195" s="1"/>
      <c r="B195" s="1"/>
      <c r="C195" s="1"/>
    </row>
    <row r="196" customFormat="false" ht="15.75" hidden="false" customHeight="false" outlineLevel="0" collapsed="false">
      <c r="A196" s="1"/>
      <c r="B196" s="1"/>
      <c r="C196" s="1"/>
    </row>
    <row r="197" customFormat="false" ht="15.75" hidden="false" customHeight="false" outlineLevel="0" collapsed="false">
      <c r="A197" s="1"/>
      <c r="B197" s="1"/>
      <c r="C197" s="1"/>
    </row>
    <row r="198" customFormat="false" ht="15.75" hidden="false" customHeight="false" outlineLevel="0" collapsed="false">
      <c r="A198" s="1"/>
      <c r="B198" s="1"/>
      <c r="C198" s="1"/>
    </row>
    <row r="199" customFormat="false" ht="15.75" hidden="false" customHeight="false" outlineLevel="0" collapsed="false">
      <c r="A199" s="1"/>
      <c r="B199" s="1"/>
      <c r="C199" s="1"/>
    </row>
    <row r="200" customFormat="false" ht="15.75" hidden="false" customHeight="false" outlineLevel="0" collapsed="false">
      <c r="A200" s="1"/>
      <c r="B200" s="1"/>
      <c r="C200" s="1"/>
    </row>
    <row r="201" customFormat="false" ht="15.75" hidden="false" customHeight="false" outlineLevel="0" collapsed="false">
      <c r="A201" s="1"/>
      <c r="B201" s="1"/>
      <c r="C201" s="1"/>
    </row>
    <row r="202" customFormat="false" ht="15.75" hidden="false" customHeight="false" outlineLevel="0" collapsed="false">
      <c r="A202" s="1"/>
      <c r="B202" s="1"/>
      <c r="C202" s="1"/>
    </row>
    <row r="203" customFormat="false" ht="15.75" hidden="false" customHeight="false" outlineLevel="0" collapsed="false">
      <c r="A203" s="1"/>
      <c r="B203" s="1"/>
      <c r="C203" s="1"/>
    </row>
    <row r="204" customFormat="false" ht="15.75" hidden="false" customHeight="false" outlineLevel="0" collapsed="false">
      <c r="A204" s="1"/>
      <c r="B204" s="1"/>
      <c r="C204" s="1"/>
    </row>
    <row r="205" customFormat="false" ht="15.75" hidden="false" customHeight="false" outlineLevel="0" collapsed="false">
      <c r="A205" s="1"/>
      <c r="B205" s="1"/>
      <c r="C205" s="1"/>
    </row>
    <row r="206" customFormat="false" ht="15.75" hidden="false" customHeight="false" outlineLevel="0" collapsed="false">
      <c r="A206" s="1"/>
      <c r="B206" s="1"/>
      <c r="C206" s="1"/>
    </row>
    <row r="207" customFormat="false" ht="15.75" hidden="false" customHeight="false" outlineLevel="0" collapsed="false">
      <c r="A207" s="1"/>
      <c r="B207" s="1"/>
      <c r="C207" s="1"/>
    </row>
    <row r="208" customFormat="false" ht="15.75" hidden="false" customHeight="false" outlineLevel="0" collapsed="false">
      <c r="A208" s="1"/>
      <c r="B208" s="1"/>
      <c r="C208" s="1"/>
    </row>
    <row r="209" customFormat="false" ht="15.75" hidden="false" customHeight="false" outlineLevel="0" collapsed="false">
      <c r="A209" s="1"/>
      <c r="B209" s="1"/>
      <c r="C209" s="1"/>
    </row>
    <row r="210" customFormat="false" ht="15.75" hidden="false" customHeight="false" outlineLevel="0" collapsed="false">
      <c r="A210" s="1"/>
      <c r="B210" s="1"/>
      <c r="C210" s="1"/>
    </row>
    <row r="211" customFormat="false" ht="15.75" hidden="false" customHeight="false" outlineLevel="0" collapsed="false">
      <c r="A211" s="1"/>
      <c r="B211" s="1"/>
      <c r="C211" s="1"/>
    </row>
    <row r="212" customFormat="false" ht="15.75" hidden="false" customHeight="false" outlineLevel="0" collapsed="false">
      <c r="A212" s="1"/>
      <c r="B212" s="1"/>
      <c r="C212" s="1"/>
    </row>
    <row r="213" customFormat="false" ht="15.75" hidden="false" customHeight="false" outlineLevel="0" collapsed="false">
      <c r="A213" s="1"/>
      <c r="B213" s="1"/>
      <c r="C213" s="1"/>
    </row>
    <row r="214" customFormat="false" ht="15.75" hidden="false" customHeight="false" outlineLevel="0" collapsed="false">
      <c r="A214" s="1"/>
      <c r="B214" s="1"/>
      <c r="C214" s="1"/>
    </row>
    <row r="215" customFormat="false" ht="15.75" hidden="false" customHeight="false" outlineLevel="0" collapsed="false">
      <c r="A215" s="1"/>
      <c r="B215" s="1"/>
      <c r="C215" s="1"/>
    </row>
    <row r="216" customFormat="false" ht="15.75" hidden="false" customHeight="false" outlineLevel="0" collapsed="false">
      <c r="A216" s="1"/>
      <c r="B216" s="1"/>
      <c r="C216" s="1"/>
    </row>
    <row r="217" customFormat="false" ht="15.75" hidden="false" customHeight="false" outlineLevel="0" collapsed="false">
      <c r="A217" s="1"/>
      <c r="B217" s="1"/>
      <c r="C217" s="1"/>
    </row>
    <row r="218" customFormat="false" ht="15.75" hidden="false" customHeight="false" outlineLevel="0" collapsed="false">
      <c r="A218" s="1"/>
      <c r="B218" s="1"/>
      <c r="C218" s="1"/>
    </row>
    <row r="219" customFormat="false" ht="15.75" hidden="false" customHeight="false" outlineLevel="0" collapsed="false">
      <c r="A219" s="1"/>
      <c r="B219" s="1"/>
      <c r="C219" s="1"/>
    </row>
    <row r="220" customFormat="false" ht="15.75" hidden="false" customHeight="false" outlineLevel="0" collapsed="false">
      <c r="A220" s="1"/>
      <c r="B220" s="1"/>
      <c r="C220" s="1"/>
    </row>
    <row r="221" customFormat="false" ht="15.75" hidden="false" customHeight="false" outlineLevel="0" collapsed="false">
      <c r="A221" s="1"/>
      <c r="B221" s="1"/>
      <c r="C221" s="1"/>
    </row>
    <row r="222" customFormat="false" ht="15.75" hidden="false" customHeight="false" outlineLevel="0" collapsed="false">
      <c r="A222" s="1"/>
      <c r="B222" s="1"/>
      <c r="C222" s="1"/>
    </row>
    <row r="223" customFormat="false" ht="15.75" hidden="false" customHeight="false" outlineLevel="0" collapsed="false">
      <c r="A223" s="1"/>
      <c r="B223" s="1"/>
      <c r="C223" s="1"/>
    </row>
    <row r="224" customFormat="false" ht="15.75" hidden="false" customHeight="false" outlineLevel="0" collapsed="false">
      <c r="A224" s="1"/>
      <c r="B224" s="1"/>
      <c r="C224" s="1"/>
    </row>
    <row r="225" customFormat="false" ht="15.75" hidden="false" customHeight="false" outlineLevel="0" collapsed="false">
      <c r="A225" s="1"/>
      <c r="B225" s="1"/>
      <c r="C225" s="1"/>
    </row>
    <row r="226" customFormat="false" ht="15.75" hidden="false" customHeight="false" outlineLevel="0" collapsed="false">
      <c r="A226" s="1"/>
      <c r="B226" s="1"/>
      <c r="C226" s="1"/>
    </row>
    <row r="227" customFormat="false" ht="15.75" hidden="false" customHeight="false" outlineLevel="0" collapsed="false">
      <c r="A227" s="1"/>
      <c r="B227" s="1"/>
      <c r="C227" s="1"/>
    </row>
    <row r="228" customFormat="false" ht="15.75" hidden="false" customHeight="false" outlineLevel="0" collapsed="false">
      <c r="A228" s="1"/>
      <c r="B228" s="1"/>
      <c r="C228" s="1"/>
    </row>
    <row r="229" customFormat="false" ht="15.75" hidden="false" customHeight="false" outlineLevel="0" collapsed="false">
      <c r="A229" s="1"/>
      <c r="B229" s="1"/>
      <c r="C229" s="1"/>
    </row>
    <row r="230" customFormat="false" ht="15.75" hidden="false" customHeight="false" outlineLevel="0" collapsed="false">
      <c r="A230" s="1"/>
      <c r="B230" s="1"/>
      <c r="C230" s="1"/>
    </row>
    <row r="231" customFormat="false" ht="15.75" hidden="false" customHeight="false" outlineLevel="0" collapsed="false">
      <c r="A231" s="1"/>
      <c r="B231" s="1"/>
      <c r="C231" s="1"/>
    </row>
    <row r="232" customFormat="false" ht="15.75" hidden="false" customHeight="false" outlineLevel="0" collapsed="false">
      <c r="A232" s="1"/>
      <c r="B232" s="1"/>
      <c r="C232" s="1"/>
    </row>
    <row r="233" customFormat="false" ht="15.75" hidden="false" customHeight="false" outlineLevel="0" collapsed="false">
      <c r="A233" s="1"/>
      <c r="B233" s="1"/>
      <c r="C233" s="1"/>
    </row>
    <row r="234" customFormat="false" ht="15.75" hidden="false" customHeight="false" outlineLevel="0" collapsed="false">
      <c r="A234" s="1"/>
      <c r="B234" s="1"/>
      <c r="C234" s="1"/>
    </row>
    <row r="235" customFormat="false" ht="15.75" hidden="false" customHeight="false" outlineLevel="0" collapsed="false">
      <c r="A235" s="1"/>
      <c r="B235" s="1"/>
      <c r="C235" s="1"/>
    </row>
    <row r="236" customFormat="false" ht="15.75" hidden="false" customHeight="false" outlineLevel="0" collapsed="false">
      <c r="A236" s="1"/>
      <c r="B236" s="1"/>
      <c r="C236" s="1"/>
    </row>
    <row r="237" customFormat="false" ht="15.75" hidden="false" customHeight="false" outlineLevel="0" collapsed="false">
      <c r="A237" s="1"/>
      <c r="B237" s="1"/>
      <c r="C237" s="1"/>
    </row>
    <row r="238" customFormat="false" ht="15.75" hidden="false" customHeight="false" outlineLevel="0" collapsed="false">
      <c r="A238" s="1"/>
      <c r="B238" s="1"/>
      <c r="C238" s="1"/>
    </row>
    <row r="239" customFormat="false" ht="15.75" hidden="false" customHeight="false" outlineLevel="0" collapsed="false">
      <c r="A239" s="1"/>
      <c r="B239" s="1"/>
      <c r="C239" s="1"/>
    </row>
    <row r="240" customFormat="false" ht="15.75" hidden="false" customHeight="false" outlineLevel="0" collapsed="false">
      <c r="A240" s="1"/>
      <c r="B240" s="1"/>
      <c r="C240" s="1"/>
    </row>
    <row r="241" customFormat="false" ht="15.75" hidden="false" customHeight="false" outlineLevel="0" collapsed="false">
      <c r="A241" s="1"/>
      <c r="B241" s="1"/>
      <c r="C241" s="1"/>
    </row>
    <row r="242" customFormat="false" ht="15.75" hidden="false" customHeight="false" outlineLevel="0" collapsed="false">
      <c r="A242" s="1"/>
      <c r="B242" s="1"/>
      <c r="C242" s="1"/>
    </row>
    <row r="243" customFormat="false" ht="15.75" hidden="false" customHeight="false" outlineLevel="0" collapsed="false">
      <c r="A243" s="1"/>
      <c r="B243" s="1"/>
      <c r="C243" s="1"/>
    </row>
    <row r="244" customFormat="false" ht="15.75" hidden="false" customHeight="false" outlineLevel="0" collapsed="false">
      <c r="A244" s="1"/>
      <c r="B244" s="1"/>
      <c r="C244" s="1"/>
    </row>
    <row r="245" customFormat="false" ht="15.75" hidden="false" customHeight="false" outlineLevel="0" collapsed="false">
      <c r="A245" s="1"/>
      <c r="B245" s="1"/>
      <c r="C245" s="1"/>
    </row>
    <row r="246" customFormat="false" ht="15.75" hidden="false" customHeight="false" outlineLevel="0" collapsed="false">
      <c r="A246" s="1"/>
      <c r="B246" s="1"/>
      <c r="C246" s="1"/>
    </row>
    <row r="247" customFormat="false" ht="15.75" hidden="false" customHeight="false" outlineLevel="0" collapsed="false">
      <c r="A247" s="1"/>
      <c r="B247" s="1"/>
      <c r="C247" s="1"/>
    </row>
    <row r="248" customFormat="false" ht="15.75" hidden="false" customHeight="false" outlineLevel="0" collapsed="false">
      <c r="A248" s="1"/>
      <c r="B248" s="1"/>
      <c r="C248" s="1"/>
    </row>
    <row r="249" customFormat="false" ht="15.75" hidden="false" customHeight="false" outlineLevel="0" collapsed="false">
      <c r="A249" s="1"/>
      <c r="B249" s="1"/>
      <c r="C249" s="1"/>
    </row>
    <row r="250" customFormat="false" ht="15.75" hidden="false" customHeight="false" outlineLevel="0" collapsed="false">
      <c r="A250" s="1"/>
      <c r="B250" s="1"/>
      <c r="C250" s="1"/>
    </row>
    <row r="251" customFormat="false" ht="15.75" hidden="false" customHeight="false" outlineLevel="0" collapsed="false">
      <c r="A251" s="1"/>
      <c r="B251" s="1"/>
      <c r="C251" s="1"/>
    </row>
    <row r="252" customFormat="false" ht="15.75" hidden="false" customHeight="false" outlineLevel="0" collapsed="false">
      <c r="A252" s="1"/>
      <c r="B252" s="1"/>
      <c r="C252" s="1"/>
    </row>
    <row r="253" customFormat="false" ht="15.75" hidden="false" customHeight="false" outlineLevel="0" collapsed="false">
      <c r="A253" s="1"/>
      <c r="B253" s="1"/>
      <c r="C253" s="1"/>
    </row>
    <row r="254" customFormat="false" ht="15.75" hidden="false" customHeight="false" outlineLevel="0" collapsed="false">
      <c r="A254" s="1"/>
      <c r="B254" s="1"/>
      <c r="C254" s="1"/>
    </row>
    <row r="255" customFormat="false" ht="15.75" hidden="false" customHeight="false" outlineLevel="0" collapsed="false">
      <c r="A255" s="1"/>
      <c r="B255" s="1"/>
      <c r="C255" s="1"/>
    </row>
    <row r="256" customFormat="false" ht="15.75" hidden="false" customHeight="false" outlineLevel="0" collapsed="false">
      <c r="A256" s="1"/>
      <c r="B256" s="1"/>
      <c r="C256" s="1"/>
    </row>
    <row r="257" customFormat="false" ht="15.75" hidden="false" customHeight="false" outlineLevel="0" collapsed="false">
      <c r="A257" s="1"/>
      <c r="B257" s="1"/>
      <c r="C257" s="1"/>
    </row>
    <row r="258" customFormat="false" ht="15.75" hidden="false" customHeight="false" outlineLevel="0" collapsed="false">
      <c r="A258" s="1"/>
      <c r="B258" s="1"/>
      <c r="C258" s="1"/>
    </row>
    <row r="259" customFormat="false" ht="15.75" hidden="false" customHeight="false" outlineLevel="0" collapsed="false">
      <c r="A259" s="1"/>
      <c r="B259" s="1"/>
      <c r="C259" s="1"/>
    </row>
    <row r="260" customFormat="false" ht="15.75" hidden="false" customHeight="false" outlineLevel="0" collapsed="false">
      <c r="A260" s="1"/>
      <c r="B260" s="1"/>
      <c r="C260" s="1"/>
    </row>
    <row r="261" customFormat="false" ht="15.75" hidden="false" customHeight="false" outlineLevel="0" collapsed="false">
      <c r="A261" s="1"/>
      <c r="B261" s="1"/>
      <c r="C261" s="1"/>
    </row>
    <row r="262" customFormat="false" ht="15.75" hidden="false" customHeight="false" outlineLevel="0" collapsed="false">
      <c r="A262" s="1"/>
      <c r="B262" s="1"/>
      <c r="C262" s="1"/>
    </row>
    <row r="263" customFormat="false" ht="15.75" hidden="false" customHeight="false" outlineLevel="0" collapsed="false">
      <c r="A263" s="1"/>
      <c r="B263" s="1"/>
      <c r="C263" s="1"/>
    </row>
    <row r="264" customFormat="false" ht="15.75" hidden="false" customHeight="false" outlineLevel="0" collapsed="false">
      <c r="A264" s="1"/>
      <c r="B264" s="1"/>
      <c r="C264" s="1"/>
    </row>
    <row r="265" customFormat="false" ht="15.75" hidden="false" customHeight="false" outlineLevel="0" collapsed="false">
      <c r="A265" s="1"/>
      <c r="B265" s="1"/>
      <c r="C265" s="1"/>
    </row>
    <row r="266" customFormat="false" ht="15.75" hidden="false" customHeight="false" outlineLevel="0" collapsed="false">
      <c r="A266" s="1"/>
      <c r="B266" s="1"/>
      <c r="C266" s="1"/>
    </row>
    <row r="267" customFormat="false" ht="15.75" hidden="false" customHeight="false" outlineLevel="0" collapsed="false">
      <c r="A267" s="1"/>
      <c r="B267" s="1"/>
      <c r="C267" s="1"/>
    </row>
    <row r="268" customFormat="false" ht="15.75" hidden="false" customHeight="false" outlineLevel="0" collapsed="false">
      <c r="A268" s="1"/>
      <c r="B268" s="1"/>
      <c r="C268" s="1"/>
    </row>
    <row r="269" customFormat="false" ht="15.75" hidden="false" customHeight="false" outlineLevel="0" collapsed="false">
      <c r="A269" s="1"/>
      <c r="B269" s="1"/>
      <c r="C269" s="1"/>
    </row>
    <row r="270" customFormat="false" ht="15.75" hidden="false" customHeight="false" outlineLevel="0" collapsed="false">
      <c r="A270" s="1"/>
      <c r="B270" s="1"/>
      <c r="C270" s="1"/>
    </row>
    <row r="271" customFormat="false" ht="15.75" hidden="false" customHeight="false" outlineLevel="0" collapsed="false">
      <c r="A271" s="1"/>
      <c r="B271" s="1"/>
      <c r="C271" s="1"/>
    </row>
    <row r="272" customFormat="false" ht="15.75" hidden="false" customHeight="false" outlineLevel="0" collapsed="false">
      <c r="A272" s="1"/>
      <c r="B272" s="1"/>
      <c r="C272" s="1"/>
    </row>
    <row r="273" customFormat="false" ht="15.75" hidden="false" customHeight="false" outlineLevel="0" collapsed="false">
      <c r="A273" s="1"/>
      <c r="B273" s="1"/>
      <c r="C273" s="1"/>
    </row>
    <row r="274" customFormat="false" ht="15.75" hidden="false" customHeight="false" outlineLevel="0" collapsed="false">
      <c r="A274" s="1"/>
      <c r="B274" s="1"/>
      <c r="C274" s="1"/>
    </row>
    <row r="275" customFormat="false" ht="15.75" hidden="false" customHeight="false" outlineLevel="0" collapsed="false">
      <c r="A275" s="1"/>
      <c r="B275" s="1"/>
      <c r="C275" s="1"/>
    </row>
    <row r="276" customFormat="false" ht="15.75" hidden="false" customHeight="false" outlineLevel="0" collapsed="false">
      <c r="A276" s="1"/>
      <c r="B276" s="1"/>
      <c r="C276" s="1"/>
    </row>
    <row r="277" customFormat="false" ht="15.75" hidden="false" customHeight="false" outlineLevel="0" collapsed="false">
      <c r="A277" s="1"/>
      <c r="B277" s="1"/>
      <c r="C277" s="1"/>
    </row>
    <row r="278" customFormat="false" ht="15.75" hidden="false" customHeight="false" outlineLevel="0" collapsed="false">
      <c r="A278" s="1"/>
      <c r="B278" s="1"/>
      <c r="C278" s="1"/>
    </row>
    <row r="279" customFormat="false" ht="15.75" hidden="false" customHeight="false" outlineLevel="0" collapsed="false">
      <c r="A279" s="1"/>
      <c r="B279" s="1"/>
      <c r="C279" s="1"/>
    </row>
    <row r="280" customFormat="false" ht="15.75" hidden="false" customHeight="false" outlineLevel="0" collapsed="false">
      <c r="A280" s="1"/>
      <c r="B280" s="1"/>
      <c r="C280" s="1"/>
    </row>
    <row r="281" customFormat="false" ht="15.75" hidden="false" customHeight="false" outlineLevel="0" collapsed="false">
      <c r="A281" s="1"/>
      <c r="B281" s="1"/>
      <c r="C281" s="1"/>
    </row>
    <row r="282" customFormat="false" ht="15.75" hidden="false" customHeight="false" outlineLevel="0" collapsed="false">
      <c r="A282" s="1"/>
      <c r="B282" s="1"/>
      <c r="C282" s="1"/>
    </row>
    <row r="283" customFormat="false" ht="15.75" hidden="false" customHeight="false" outlineLevel="0" collapsed="false">
      <c r="A283" s="1"/>
      <c r="B283" s="1"/>
      <c r="C283" s="1"/>
    </row>
    <row r="284" customFormat="false" ht="15.75" hidden="false" customHeight="false" outlineLevel="0" collapsed="false">
      <c r="A284" s="1"/>
      <c r="B284" s="1"/>
      <c r="C284" s="1"/>
    </row>
    <row r="285" customFormat="false" ht="15.75" hidden="false" customHeight="false" outlineLevel="0" collapsed="false">
      <c r="A285" s="1"/>
      <c r="B285" s="1"/>
      <c r="C285" s="1"/>
    </row>
    <row r="286" customFormat="false" ht="15.75" hidden="false" customHeight="false" outlineLevel="0" collapsed="false">
      <c r="A286" s="1"/>
      <c r="B286" s="1"/>
      <c r="C286" s="1"/>
    </row>
    <row r="287" customFormat="false" ht="15.75" hidden="false" customHeight="false" outlineLevel="0" collapsed="false">
      <c r="A287" s="1"/>
      <c r="B287" s="1"/>
      <c r="C287" s="1"/>
    </row>
    <row r="288" customFormat="false" ht="15.75" hidden="false" customHeight="false" outlineLevel="0" collapsed="false">
      <c r="A288" s="1"/>
      <c r="B288" s="1"/>
      <c r="C288" s="1"/>
    </row>
    <row r="289" customFormat="false" ht="15.75" hidden="false" customHeight="false" outlineLevel="0" collapsed="false">
      <c r="A289" s="1"/>
      <c r="B289" s="1"/>
      <c r="C289" s="1"/>
    </row>
    <row r="290" customFormat="false" ht="15.75" hidden="false" customHeight="false" outlineLevel="0" collapsed="false">
      <c r="A290" s="1"/>
      <c r="B290" s="1"/>
      <c r="C290" s="1"/>
    </row>
    <row r="291" customFormat="false" ht="15.75" hidden="false" customHeight="false" outlineLevel="0" collapsed="false">
      <c r="A291" s="1"/>
      <c r="B291" s="1"/>
      <c r="C291" s="1"/>
    </row>
    <row r="292" customFormat="false" ht="15.75" hidden="false" customHeight="false" outlineLevel="0" collapsed="false">
      <c r="A292" s="1"/>
      <c r="B292" s="1"/>
      <c r="C292" s="1"/>
    </row>
    <row r="293" customFormat="false" ht="15.75" hidden="false" customHeight="false" outlineLevel="0" collapsed="false">
      <c r="A293" s="1"/>
      <c r="B293" s="1"/>
      <c r="C293" s="1"/>
    </row>
    <row r="294" customFormat="false" ht="15.75" hidden="false" customHeight="false" outlineLevel="0" collapsed="false">
      <c r="A294" s="1"/>
      <c r="B294" s="1"/>
      <c r="C294" s="1"/>
    </row>
    <row r="295" customFormat="false" ht="15.75" hidden="false" customHeight="false" outlineLevel="0" collapsed="false">
      <c r="A295" s="1"/>
      <c r="B295" s="1"/>
      <c r="C295" s="1"/>
    </row>
    <row r="296" customFormat="false" ht="15.75" hidden="false" customHeight="false" outlineLevel="0" collapsed="false">
      <c r="A296" s="1"/>
      <c r="B296" s="1"/>
      <c r="C296" s="1"/>
    </row>
    <row r="297" customFormat="false" ht="15.75" hidden="false" customHeight="false" outlineLevel="0" collapsed="false">
      <c r="A297" s="1"/>
      <c r="B297" s="1"/>
      <c r="C297" s="1"/>
    </row>
    <row r="298" customFormat="false" ht="15.75" hidden="false" customHeight="false" outlineLevel="0" collapsed="false">
      <c r="A298" s="1"/>
      <c r="B298" s="1"/>
      <c r="C298" s="1"/>
    </row>
    <row r="299" customFormat="false" ht="15.75" hidden="false" customHeight="false" outlineLevel="0" collapsed="false">
      <c r="A299" s="1"/>
      <c r="B299" s="1"/>
      <c r="C299" s="1"/>
    </row>
    <row r="300" customFormat="false" ht="15.75" hidden="false" customHeight="false" outlineLevel="0" collapsed="false">
      <c r="A300" s="1"/>
      <c r="B300" s="1"/>
      <c r="C300" s="1"/>
    </row>
    <row r="301" customFormat="false" ht="15.75" hidden="false" customHeight="false" outlineLevel="0" collapsed="false">
      <c r="A301" s="1"/>
      <c r="B301" s="1"/>
      <c r="C301" s="1"/>
    </row>
    <row r="302" customFormat="false" ht="15.75" hidden="false" customHeight="false" outlineLevel="0" collapsed="false">
      <c r="A302" s="1"/>
      <c r="B302" s="1"/>
      <c r="C302" s="1"/>
    </row>
    <row r="303" customFormat="false" ht="15.75" hidden="false" customHeight="false" outlineLevel="0" collapsed="false">
      <c r="A303" s="1"/>
      <c r="B303" s="1"/>
      <c r="C303" s="1"/>
    </row>
    <row r="304" customFormat="false" ht="15.75" hidden="false" customHeight="false" outlineLevel="0" collapsed="false">
      <c r="A304" s="1"/>
      <c r="B304" s="1"/>
      <c r="C304" s="1"/>
    </row>
    <row r="305" customFormat="false" ht="15.75" hidden="false" customHeight="false" outlineLevel="0" collapsed="false">
      <c r="A305" s="1"/>
      <c r="B305" s="1"/>
      <c r="C305" s="1"/>
    </row>
    <row r="306" customFormat="false" ht="15.75" hidden="false" customHeight="false" outlineLevel="0" collapsed="false">
      <c r="A306" s="1"/>
      <c r="B306" s="1"/>
      <c r="C306" s="1"/>
    </row>
    <row r="307" customFormat="false" ht="15.75" hidden="false" customHeight="false" outlineLevel="0" collapsed="false">
      <c r="A307" s="1"/>
      <c r="B307" s="1"/>
      <c r="C307" s="1"/>
    </row>
    <row r="308" customFormat="false" ht="15.75" hidden="false" customHeight="false" outlineLevel="0" collapsed="false">
      <c r="A308" s="1"/>
      <c r="B308" s="1"/>
      <c r="C308" s="1"/>
    </row>
    <row r="309" customFormat="false" ht="15.75" hidden="false" customHeight="false" outlineLevel="0" collapsed="false">
      <c r="A309" s="1"/>
      <c r="B309" s="1"/>
      <c r="C309" s="1"/>
    </row>
    <row r="310" customFormat="false" ht="15.75" hidden="false" customHeight="false" outlineLevel="0" collapsed="false">
      <c r="A310" s="1"/>
      <c r="B310" s="1"/>
      <c r="C310" s="1"/>
    </row>
    <row r="311" customFormat="false" ht="15.75" hidden="false" customHeight="false" outlineLevel="0" collapsed="false">
      <c r="A311" s="1"/>
      <c r="B311" s="1"/>
      <c r="C311" s="1"/>
    </row>
    <row r="312" customFormat="false" ht="15.75" hidden="false" customHeight="false" outlineLevel="0" collapsed="false">
      <c r="A312" s="1"/>
      <c r="B312" s="1"/>
      <c r="C312" s="1"/>
    </row>
    <row r="313" customFormat="false" ht="15.75" hidden="false" customHeight="false" outlineLevel="0" collapsed="false">
      <c r="A313" s="1"/>
      <c r="B313" s="1"/>
      <c r="C313" s="1"/>
    </row>
    <row r="314" customFormat="false" ht="15.75" hidden="false" customHeight="false" outlineLevel="0" collapsed="false">
      <c r="A314" s="1"/>
      <c r="B314" s="1"/>
      <c r="C314" s="1"/>
    </row>
    <row r="315" customFormat="false" ht="15.75" hidden="false" customHeight="false" outlineLevel="0" collapsed="false">
      <c r="A315" s="1"/>
      <c r="B315" s="1"/>
      <c r="C315" s="1"/>
    </row>
    <row r="316" customFormat="false" ht="15.75" hidden="false" customHeight="false" outlineLevel="0" collapsed="false">
      <c r="A316" s="1"/>
      <c r="B316" s="1"/>
      <c r="C316" s="1"/>
    </row>
    <row r="317" customFormat="false" ht="15.75" hidden="false" customHeight="false" outlineLevel="0" collapsed="false">
      <c r="A317" s="1"/>
      <c r="B317" s="1"/>
      <c r="C317" s="1"/>
    </row>
    <row r="318" customFormat="false" ht="15.75" hidden="false" customHeight="false" outlineLevel="0" collapsed="false">
      <c r="A318" s="1"/>
      <c r="B318" s="1"/>
      <c r="C318" s="1"/>
    </row>
    <row r="319" customFormat="false" ht="15.75" hidden="false" customHeight="false" outlineLevel="0" collapsed="false">
      <c r="A319" s="1"/>
      <c r="B319" s="1"/>
      <c r="C319" s="1"/>
    </row>
    <row r="320" customFormat="false" ht="15.75" hidden="false" customHeight="false" outlineLevel="0" collapsed="false">
      <c r="A320" s="1"/>
      <c r="B320" s="1"/>
      <c r="C320" s="1"/>
    </row>
    <row r="321" customFormat="false" ht="15.75" hidden="false" customHeight="false" outlineLevel="0" collapsed="false">
      <c r="A321" s="1"/>
      <c r="B321" s="1"/>
      <c r="C321" s="1"/>
    </row>
    <row r="322" customFormat="false" ht="15.75" hidden="false" customHeight="false" outlineLevel="0" collapsed="false">
      <c r="A322" s="1"/>
      <c r="B322" s="1"/>
      <c r="C322" s="1"/>
    </row>
    <row r="323" customFormat="false" ht="15.75" hidden="false" customHeight="false" outlineLevel="0" collapsed="false">
      <c r="A323" s="1"/>
      <c r="B323" s="1"/>
      <c r="C323" s="1"/>
    </row>
    <row r="324" customFormat="false" ht="15.75" hidden="false" customHeight="false" outlineLevel="0" collapsed="false">
      <c r="A324" s="1"/>
      <c r="B324" s="1"/>
      <c r="C324" s="1"/>
    </row>
    <row r="325" customFormat="false" ht="15.75" hidden="false" customHeight="false" outlineLevel="0" collapsed="false">
      <c r="A325" s="1"/>
      <c r="B325" s="1"/>
      <c r="C325" s="1"/>
    </row>
    <row r="326" customFormat="false" ht="15.75" hidden="false" customHeight="false" outlineLevel="0" collapsed="false">
      <c r="A326" s="1"/>
      <c r="B326" s="1"/>
      <c r="C326" s="1"/>
    </row>
    <row r="327" customFormat="false" ht="15.75" hidden="false" customHeight="false" outlineLevel="0" collapsed="false">
      <c r="A327" s="1"/>
      <c r="B327" s="1"/>
      <c r="C327" s="1"/>
    </row>
    <row r="328" customFormat="false" ht="15.75" hidden="false" customHeight="false" outlineLevel="0" collapsed="false">
      <c r="A328" s="1"/>
      <c r="B328" s="1"/>
      <c r="C328" s="1"/>
    </row>
    <row r="329" customFormat="false" ht="15.75" hidden="false" customHeight="false" outlineLevel="0" collapsed="false">
      <c r="A329" s="1"/>
      <c r="B329" s="1"/>
      <c r="C329" s="1"/>
    </row>
    <row r="330" customFormat="false" ht="15.75" hidden="false" customHeight="false" outlineLevel="0" collapsed="false">
      <c r="A330" s="1"/>
      <c r="B330" s="1"/>
      <c r="C330" s="1"/>
    </row>
    <row r="331" customFormat="false" ht="15.75" hidden="false" customHeight="false" outlineLevel="0" collapsed="false">
      <c r="A331" s="1"/>
      <c r="B331" s="1"/>
      <c r="C331" s="1"/>
    </row>
    <row r="332" customFormat="false" ht="15.75" hidden="false" customHeight="false" outlineLevel="0" collapsed="false">
      <c r="A332" s="1"/>
      <c r="B332" s="1"/>
      <c r="C332" s="1"/>
    </row>
    <row r="333" customFormat="false" ht="15.75" hidden="false" customHeight="false" outlineLevel="0" collapsed="false">
      <c r="A333" s="1"/>
      <c r="B333" s="1"/>
      <c r="C333" s="1"/>
    </row>
    <row r="334" customFormat="false" ht="15.75" hidden="false" customHeight="false" outlineLevel="0" collapsed="false">
      <c r="A334" s="1"/>
      <c r="B334" s="1"/>
      <c r="C334" s="1"/>
    </row>
    <row r="335" customFormat="false" ht="15.75" hidden="false" customHeight="false" outlineLevel="0" collapsed="false">
      <c r="A335" s="1"/>
      <c r="B335" s="1"/>
      <c r="C335" s="1"/>
    </row>
    <row r="336" customFormat="false" ht="15.75" hidden="false" customHeight="false" outlineLevel="0" collapsed="false">
      <c r="A336" s="1"/>
      <c r="B336" s="1"/>
      <c r="C336" s="1"/>
    </row>
    <row r="337" customFormat="false" ht="15.75" hidden="false" customHeight="false" outlineLevel="0" collapsed="false">
      <c r="A337" s="1"/>
      <c r="B337" s="1"/>
      <c r="C337" s="1"/>
    </row>
    <row r="338" customFormat="false" ht="15.75" hidden="false" customHeight="false" outlineLevel="0" collapsed="false">
      <c r="A338" s="1"/>
      <c r="B338" s="1"/>
      <c r="C338" s="1"/>
    </row>
    <row r="339" customFormat="false" ht="15.75" hidden="false" customHeight="false" outlineLevel="0" collapsed="false">
      <c r="A339" s="1"/>
      <c r="B339" s="1"/>
      <c r="C339" s="1"/>
    </row>
    <row r="340" customFormat="false" ht="15.75" hidden="false" customHeight="false" outlineLevel="0" collapsed="false">
      <c r="A340" s="1"/>
      <c r="B340" s="1"/>
      <c r="C340" s="1"/>
    </row>
    <row r="341" customFormat="false" ht="15.75" hidden="false" customHeight="false" outlineLevel="0" collapsed="false">
      <c r="A341" s="1"/>
      <c r="B341" s="1"/>
      <c r="C341" s="1"/>
    </row>
    <row r="342" customFormat="false" ht="15.75" hidden="false" customHeight="false" outlineLevel="0" collapsed="false">
      <c r="A342" s="1"/>
      <c r="B342" s="1"/>
      <c r="C342" s="1"/>
    </row>
    <row r="343" customFormat="false" ht="15.75" hidden="false" customHeight="false" outlineLevel="0" collapsed="false">
      <c r="A343" s="1"/>
      <c r="B343" s="1"/>
      <c r="C343" s="1"/>
    </row>
    <row r="344" customFormat="false" ht="15.75" hidden="false" customHeight="false" outlineLevel="0" collapsed="false">
      <c r="A344" s="1"/>
      <c r="B344" s="1"/>
      <c r="C344" s="1"/>
    </row>
    <row r="345" customFormat="false" ht="15.75" hidden="false" customHeight="false" outlineLevel="0" collapsed="false">
      <c r="A345" s="1"/>
      <c r="B345" s="1"/>
      <c r="C345" s="1"/>
    </row>
    <row r="346" customFormat="false" ht="15.75" hidden="false" customHeight="false" outlineLevel="0" collapsed="false">
      <c r="A346" s="1"/>
      <c r="B346" s="1"/>
      <c r="C346" s="1"/>
    </row>
    <row r="347" customFormat="false" ht="15.75" hidden="false" customHeight="false" outlineLevel="0" collapsed="false">
      <c r="A347" s="1"/>
      <c r="B347" s="1"/>
      <c r="C347" s="1"/>
    </row>
    <row r="348" customFormat="false" ht="15.75" hidden="false" customHeight="false" outlineLevel="0" collapsed="false">
      <c r="A348" s="1"/>
      <c r="B348" s="1"/>
      <c r="C348" s="1"/>
    </row>
    <row r="349" customFormat="false" ht="15.75" hidden="false" customHeight="false" outlineLevel="0" collapsed="false">
      <c r="A349" s="1"/>
      <c r="B349" s="1"/>
      <c r="C349" s="1"/>
    </row>
    <row r="350" customFormat="false" ht="15.75" hidden="false" customHeight="false" outlineLevel="0" collapsed="false">
      <c r="A350" s="1"/>
      <c r="B350" s="1"/>
      <c r="C350" s="1"/>
    </row>
    <row r="351" customFormat="false" ht="15.75" hidden="false" customHeight="false" outlineLevel="0" collapsed="false">
      <c r="A351" s="1"/>
      <c r="B351" s="1"/>
      <c r="C351" s="1"/>
    </row>
    <row r="352" customFormat="false" ht="15.75" hidden="false" customHeight="false" outlineLevel="0" collapsed="false">
      <c r="A352" s="1"/>
      <c r="B352" s="1"/>
      <c r="C352" s="1"/>
    </row>
    <row r="353" customFormat="false" ht="15.75" hidden="false" customHeight="false" outlineLevel="0" collapsed="false">
      <c r="A353" s="1"/>
      <c r="B353" s="1"/>
      <c r="C353" s="1"/>
    </row>
    <row r="354" customFormat="false" ht="15.75" hidden="false" customHeight="false" outlineLevel="0" collapsed="false">
      <c r="A354" s="1"/>
      <c r="B354" s="1"/>
      <c r="C354" s="1"/>
    </row>
    <row r="355" customFormat="false" ht="15.75" hidden="false" customHeight="false" outlineLevel="0" collapsed="false">
      <c r="A355" s="1"/>
      <c r="B355" s="1"/>
      <c r="C355" s="1"/>
    </row>
    <row r="356" customFormat="false" ht="15.75" hidden="false" customHeight="false" outlineLevel="0" collapsed="false">
      <c r="A356" s="1"/>
      <c r="B356" s="1"/>
      <c r="C356" s="1"/>
    </row>
    <row r="357" customFormat="false" ht="15.75" hidden="false" customHeight="false" outlineLevel="0" collapsed="false">
      <c r="A357" s="1"/>
      <c r="B357" s="1"/>
      <c r="C357" s="1"/>
    </row>
    <row r="358" customFormat="false" ht="15.75" hidden="false" customHeight="false" outlineLevel="0" collapsed="false">
      <c r="A358" s="1"/>
      <c r="B358" s="1"/>
      <c r="C358" s="1"/>
    </row>
    <row r="359" customFormat="false" ht="15.75" hidden="false" customHeight="false" outlineLevel="0" collapsed="false">
      <c r="A359" s="1"/>
      <c r="B359" s="1"/>
      <c r="C359" s="1"/>
    </row>
    <row r="360" customFormat="false" ht="15.75" hidden="false" customHeight="false" outlineLevel="0" collapsed="false">
      <c r="A360" s="1"/>
      <c r="B360" s="1"/>
      <c r="C360" s="1"/>
    </row>
    <row r="361" customFormat="false" ht="15.75" hidden="false" customHeight="false" outlineLevel="0" collapsed="false">
      <c r="A361" s="1"/>
      <c r="B361" s="1"/>
      <c r="C361" s="1"/>
    </row>
    <row r="362" customFormat="false" ht="15.75" hidden="false" customHeight="false" outlineLevel="0" collapsed="false">
      <c r="A362" s="1"/>
      <c r="B362" s="1"/>
      <c r="C362" s="1"/>
    </row>
    <row r="363" customFormat="false" ht="15.75" hidden="false" customHeight="false" outlineLevel="0" collapsed="false">
      <c r="A363" s="1"/>
      <c r="B363" s="1"/>
      <c r="C363" s="1"/>
    </row>
    <row r="364" customFormat="false" ht="15.75" hidden="false" customHeight="false" outlineLevel="0" collapsed="false">
      <c r="A364" s="1"/>
      <c r="B364" s="1"/>
      <c r="C364" s="1"/>
    </row>
    <row r="365" customFormat="false" ht="15.75" hidden="false" customHeight="false" outlineLevel="0" collapsed="false">
      <c r="A365" s="1"/>
      <c r="B365" s="1"/>
      <c r="C365" s="1"/>
    </row>
    <row r="366" customFormat="false" ht="15.75" hidden="false" customHeight="false" outlineLevel="0" collapsed="false">
      <c r="A366" s="1"/>
      <c r="B366" s="1"/>
      <c r="C366" s="1"/>
    </row>
    <row r="367" customFormat="false" ht="15.75" hidden="false" customHeight="false" outlineLevel="0" collapsed="false">
      <c r="A367" s="1"/>
      <c r="B367" s="1"/>
      <c r="C367" s="1"/>
    </row>
    <row r="368" customFormat="false" ht="15.75" hidden="false" customHeight="false" outlineLevel="0" collapsed="false">
      <c r="A368" s="1"/>
      <c r="B368" s="1"/>
      <c r="C368" s="1"/>
    </row>
    <row r="369" customFormat="false" ht="15.75" hidden="false" customHeight="false" outlineLevel="0" collapsed="false">
      <c r="A369" s="1"/>
      <c r="B369" s="1"/>
      <c r="C369" s="1"/>
    </row>
    <row r="370" customFormat="false" ht="15.75" hidden="false" customHeight="false" outlineLevel="0" collapsed="false">
      <c r="A370" s="1"/>
      <c r="B370" s="1"/>
      <c r="C370" s="1"/>
    </row>
    <row r="371" customFormat="false" ht="15.75" hidden="false" customHeight="false" outlineLevel="0" collapsed="false">
      <c r="A371" s="1"/>
      <c r="B371" s="1"/>
      <c r="C371" s="1"/>
    </row>
    <row r="372" customFormat="false" ht="15.75" hidden="false" customHeight="false" outlineLevel="0" collapsed="false">
      <c r="A372" s="1"/>
      <c r="B372" s="1"/>
      <c r="C372" s="1"/>
    </row>
    <row r="373" customFormat="false" ht="15.75" hidden="false" customHeight="false" outlineLevel="0" collapsed="false">
      <c r="A373" s="1"/>
      <c r="B373" s="1"/>
      <c r="C373" s="1"/>
    </row>
    <row r="374" customFormat="false" ht="15.75" hidden="false" customHeight="false" outlineLevel="0" collapsed="false">
      <c r="A374" s="1"/>
      <c r="B374" s="1"/>
      <c r="C374" s="1"/>
    </row>
    <row r="375" customFormat="false" ht="15.75" hidden="false" customHeight="false" outlineLevel="0" collapsed="false">
      <c r="A375" s="1"/>
      <c r="B375" s="1"/>
      <c r="C375" s="1"/>
    </row>
    <row r="376" customFormat="false" ht="15.75" hidden="false" customHeight="false" outlineLevel="0" collapsed="false">
      <c r="A376" s="1"/>
      <c r="B376" s="1"/>
      <c r="C376" s="1"/>
    </row>
    <row r="377" customFormat="false" ht="15.75" hidden="false" customHeight="false" outlineLevel="0" collapsed="false">
      <c r="A377" s="1"/>
      <c r="B377" s="1"/>
      <c r="C377" s="1"/>
    </row>
    <row r="378" customFormat="false" ht="15.75" hidden="false" customHeight="false" outlineLevel="0" collapsed="false">
      <c r="A378" s="1"/>
      <c r="B378" s="1"/>
      <c r="C378" s="1"/>
    </row>
    <row r="379" customFormat="false" ht="15.75" hidden="false" customHeight="false" outlineLevel="0" collapsed="false">
      <c r="A379" s="1"/>
      <c r="B379" s="1"/>
      <c r="C379" s="1"/>
    </row>
    <row r="380" customFormat="false" ht="15.75" hidden="false" customHeight="false" outlineLevel="0" collapsed="false">
      <c r="A380" s="1"/>
      <c r="B380" s="1"/>
      <c r="C380" s="1"/>
    </row>
    <row r="381" customFormat="false" ht="15.75" hidden="false" customHeight="false" outlineLevel="0" collapsed="false">
      <c r="A381" s="1"/>
      <c r="B381" s="1"/>
      <c r="C381" s="1"/>
    </row>
    <row r="382" customFormat="false" ht="15.75" hidden="false" customHeight="false" outlineLevel="0" collapsed="false">
      <c r="A382" s="1"/>
      <c r="B382" s="1"/>
      <c r="C382" s="1"/>
    </row>
    <row r="383" customFormat="false" ht="15.75" hidden="false" customHeight="false" outlineLevel="0" collapsed="false">
      <c r="A383" s="1"/>
      <c r="B383" s="1"/>
      <c r="C383" s="1"/>
    </row>
    <row r="384" customFormat="false" ht="15.75" hidden="false" customHeight="false" outlineLevel="0" collapsed="false">
      <c r="A384" s="1"/>
      <c r="B384" s="1"/>
      <c r="C384" s="1"/>
    </row>
    <row r="385" customFormat="false" ht="15.75" hidden="false" customHeight="false" outlineLevel="0" collapsed="false">
      <c r="A385" s="1"/>
      <c r="B385" s="1"/>
      <c r="C385" s="1"/>
    </row>
    <row r="386" customFormat="false" ht="15.75" hidden="false" customHeight="false" outlineLevel="0" collapsed="false">
      <c r="A386" s="1"/>
      <c r="B386" s="1"/>
      <c r="C386" s="1"/>
    </row>
    <row r="387" customFormat="false" ht="15.75" hidden="false" customHeight="false" outlineLevel="0" collapsed="false">
      <c r="A387" s="1"/>
      <c r="B387" s="1"/>
      <c r="C387" s="1"/>
    </row>
    <row r="388" customFormat="false" ht="15.75" hidden="false" customHeight="false" outlineLevel="0" collapsed="false">
      <c r="A388" s="1"/>
      <c r="B388" s="1"/>
      <c r="C388" s="1"/>
    </row>
    <row r="389" customFormat="false" ht="15.75" hidden="false" customHeight="false" outlineLevel="0" collapsed="false">
      <c r="A389" s="1"/>
      <c r="B389" s="1"/>
      <c r="C389" s="1"/>
    </row>
    <row r="390" customFormat="false" ht="15.75" hidden="false" customHeight="false" outlineLevel="0" collapsed="false">
      <c r="A390" s="1"/>
      <c r="B390" s="1"/>
      <c r="C390" s="1"/>
    </row>
    <row r="391" customFormat="false" ht="15.75" hidden="false" customHeight="false" outlineLevel="0" collapsed="false">
      <c r="A391" s="1"/>
      <c r="B391" s="1"/>
      <c r="C391" s="1"/>
    </row>
    <row r="392" customFormat="false" ht="15.75" hidden="false" customHeight="false" outlineLevel="0" collapsed="false">
      <c r="A392" s="1"/>
      <c r="B392" s="1"/>
      <c r="C392" s="1"/>
    </row>
    <row r="393" customFormat="false" ht="15.75" hidden="false" customHeight="false" outlineLevel="0" collapsed="false">
      <c r="A393" s="1"/>
      <c r="B393" s="1"/>
      <c r="C393" s="1"/>
    </row>
    <row r="394" customFormat="false" ht="15.75" hidden="false" customHeight="false" outlineLevel="0" collapsed="false">
      <c r="A394" s="1"/>
      <c r="B394" s="1"/>
      <c r="C394" s="1"/>
    </row>
    <row r="395" customFormat="false" ht="15.75" hidden="false" customHeight="false" outlineLevel="0" collapsed="false">
      <c r="A395" s="1"/>
      <c r="B395" s="1"/>
      <c r="C395" s="1"/>
    </row>
    <row r="396" customFormat="false" ht="15.75" hidden="false" customHeight="false" outlineLevel="0" collapsed="false">
      <c r="A396" s="1"/>
      <c r="B396" s="1"/>
      <c r="C396" s="1"/>
    </row>
    <row r="397" customFormat="false" ht="15.75" hidden="false" customHeight="false" outlineLevel="0" collapsed="false">
      <c r="A397" s="1"/>
      <c r="B397" s="1"/>
      <c r="C397" s="1"/>
    </row>
    <row r="398" customFormat="false" ht="15.75" hidden="false" customHeight="false" outlineLevel="0" collapsed="false">
      <c r="A398" s="1"/>
      <c r="B398" s="1"/>
      <c r="C398" s="1"/>
    </row>
    <row r="399" customFormat="false" ht="15.75" hidden="false" customHeight="false" outlineLevel="0" collapsed="false">
      <c r="A399" s="1"/>
      <c r="B399" s="1"/>
      <c r="C399" s="1"/>
    </row>
    <row r="400" customFormat="false" ht="15.75" hidden="false" customHeight="false" outlineLevel="0" collapsed="false">
      <c r="A400" s="1"/>
      <c r="B400" s="1"/>
      <c r="C400" s="1"/>
    </row>
    <row r="401" customFormat="false" ht="15.75" hidden="false" customHeight="false" outlineLevel="0" collapsed="false">
      <c r="A401" s="1"/>
      <c r="B401" s="1"/>
      <c r="C401" s="1"/>
    </row>
    <row r="402" customFormat="false" ht="15.75" hidden="false" customHeight="false" outlineLevel="0" collapsed="false">
      <c r="A402" s="1"/>
      <c r="B402" s="1"/>
      <c r="C402" s="1"/>
    </row>
    <row r="403" customFormat="false" ht="15.75" hidden="false" customHeight="false" outlineLevel="0" collapsed="false">
      <c r="A403" s="1"/>
      <c r="B403" s="1"/>
      <c r="C403" s="1"/>
    </row>
    <row r="404" customFormat="false" ht="15.75" hidden="false" customHeight="false" outlineLevel="0" collapsed="false">
      <c r="A404" s="1"/>
      <c r="B404" s="1"/>
      <c r="C404" s="1"/>
    </row>
    <row r="405" customFormat="false" ht="15.75" hidden="false" customHeight="false" outlineLevel="0" collapsed="false">
      <c r="A405" s="1"/>
      <c r="B405" s="1"/>
      <c r="C405" s="1"/>
    </row>
    <row r="406" customFormat="false" ht="15.75" hidden="false" customHeight="false" outlineLevel="0" collapsed="false">
      <c r="A406" s="1"/>
      <c r="B406" s="1"/>
      <c r="C406" s="1"/>
    </row>
    <row r="407" customFormat="false" ht="15.75" hidden="false" customHeight="false" outlineLevel="0" collapsed="false">
      <c r="A407" s="1"/>
      <c r="B407" s="1"/>
      <c r="C407" s="1"/>
    </row>
    <row r="408" customFormat="false" ht="15.75" hidden="false" customHeight="false" outlineLevel="0" collapsed="false">
      <c r="A408" s="1"/>
      <c r="B408" s="1"/>
      <c r="C408" s="1"/>
    </row>
    <row r="409" customFormat="false" ht="15.75" hidden="false" customHeight="false" outlineLevel="0" collapsed="false">
      <c r="A409" s="1"/>
      <c r="B409" s="1"/>
      <c r="C409" s="1"/>
    </row>
    <row r="410" customFormat="false" ht="15.75" hidden="false" customHeight="false" outlineLevel="0" collapsed="false">
      <c r="A410" s="1"/>
      <c r="B410" s="1"/>
      <c r="C410" s="1"/>
    </row>
    <row r="411" customFormat="false" ht="15.75" hidden="false" customHeight="false" outlineLevel="0" collapsed="false">
      <c r="A411" s="1"/>
      <c r="B411" s="1"/>
      <c r="C411" s="1"/>
    </row>
    <row r="412" customFormat="false" ht="15.75" hidden="false" customHeight="false" outlineLevel="0" collapsed="false">
      <c r="A412" s="1"/>
      <c r="B412" s="1"/>
      <c r="C412" s="1"/>
    </row>
    <row r="413" customFormat="false" ht="15.75" hidden="false" customHeight="false" outlineLevel="0" collapsed="false">
      <c r="A413" s="1"/>
      <c r="B413" s="1"/>
      <c r="C413" s="1"/>
    </row>
    <row r="414" customFormat="false" ht="15.75" hidden="false" customHeight="false" outlineLevel="0" collapsed="false">
      <c r="A414" s="1"/>
      <c r="B414" s="1"/>
      <c r="C414" s="1"/>
    </row>
    <row r="415" customFormat="false" ht="15.75" hidden="false" customHeight="false" outlineLevel="0" collapsed="false">
      <c r="A415" s="1"/>
      <c r="B415" s="1"/>
      <c r="C415" s="1"/>
    </row>
    <row r="416" customFormat="false" ht="15.75" hidden="false" customHeight="false" outlineLevel="0" collapsed="false">
      <c r="A416" s="1"/>
      <c r="B416" s="1"/>
      <c r="C416" s="1"/>
    </row>
    <row r="417" customFormat="false" ht="15.75" hidden="false" customHeight="false" outlineLevel="0" collapsed="false">
      <c r="A417" s="1"/>
      <c r="B417" s="1"/>
      <c r="C417" s="1"/>
    </row>
    <row r="418" customFormat="false" ht="15.75" hidden="false" customHeight="false" outlineLevel="0" collapsed="false">
      <c r="A418" s="1"/>
      <c r="B418" s="1"/>
      <c r="C418" s="1"/>
    </row>
    <row r="419" customFormat="false" ht="15.75" hidden="false" customHeight="false" outlineLevel="0" collapsed="false">
      <c r="A419" s="1"/>
      <c r="B419" s="1"/>
      <c r="C419" s="1"/>
    </row>
    <row r="420" customFormat="false" ht="15.75" hidden="false" customHeight="false" outlineLevel="0" collapsed="false">
      <c r="A420" s="1"/>
      <c r="B420" s="1"/>
      <c r="C420" s="1"/>
    </row>
    <row r="421" customFormat="false" ht="15.75" hidden="false" customHeight="false" outlineLevel="0" collapsed="false">
      <c r="A421" s="1"/>
      <c r="B421" s="1"/>
      <c r="C421" s="1"/>
    </row>
    <row r="422" customFormat="false" ht="15.75" hidden="false" customHeight="false" outlineLevel="0" collapsed="false">
      <c r="A422" s="1"/>
      <c r="B422" s="1"/>
      <c r="C422" s="1"/>
    </row>
    <row r="423" customFormat="false" ht="15.75" hidden="false" customHeight="false" outlineLevel="0" collapsed="false">
      <c r="A423" s="1"/>
      <c r="B423" s="1"/>
      <c r="C423" s="1"/>
    </row>
    <row r="424" customFormat="false" ht="15.75" hidden="false" customHeight="false" outlineLevel="0" collapsed="false">
      <c r="A424" s="1"/>
      <c r="B424" s="1"/>
      <c r="C424" s="1"/>
    </row>
    <row r="425" customFormat="false" ht="15.75" hidden="false" customHeight="false" outlineLevel="0" collapsed="false">
      <c r="A425" s="1"/>
      <c r="B425" s="1"/>
      <c r="C425" s="1"/>
    </row>
    <row r="426" customFormat="false" ht="15.75" hidden="false" customHeight="false" outlineLevel="0" collapsed="false">
      <c r="A426" s="1"/>
      <c r="B426" s="1"/>
      <c r="C426" s="1"/>
    </row>
    <row r="427" customFormat="false" ht="15.75" hidden="false" customHeight="false" outlineLevel="0" collapsed="false">
      <c r="A427" s="1"/>
      <c r="B427" s="1"/>
      <c r="C427" s="1"/>
    </row>
    <row r="428" customFormat="false" ht="15.75" hidden="false" customHeight="false" outlineLevel="0" collapsed="false">
      <c r="A428" s="1"/>
      <c r="B428" s="1"/>
      <c r="C428" s="1"/>
    </row>
    <row r="429" customFormat="false" ht="15.75" hidden="false" customHeight="false" outlineLevel="0" collapsed="false">
      <c r="A429" s="1"/>
      <c r="B429" s="1"/>
      <c r="C429" s="1"/>
    </row>
    <row r="430" customFormat="false" ht="15.75" hidden="false" customHeight="false" outlineLevel="0" collapsed="false">
      <c r="A430" s="1"/>
      <c r="B430" s="1"/>
      <c r="C430" s="1"/>
    </row>
    <row r="431" customFormat="false" ht="15.75" hidden="false" customHeight="false" outlineLevel="0" collapsed="false">
      <c r="A431" s="1"/>
      <c r="B431" s="1"/>
      <c r="C431" s="1"/>
    </row>
    <row r="432" customFormat="false" ht="15.75" hidden="false" customHeight="false" outlineLevel="0" collapsed="false">
      <c r="A432" s="1"/>
      <c r="B432" s="1"/>
      <c r="C432" s="1"/>
    </row>
    <row r="433" customFormat="false" ht="15.75" hidden="false" customHeight="false" outlineLevel="0" collapsed="false">
      <c r="A433" s="1"/>
      <c r="B433" s="1"/>
      <c r="C433" s="1"/>
    </row>
    <row r="434" customFormat="false" ht="15.75" hidden="false" customHeight="false" outlineLevel="0" collapsed="false">
      <c r="A434" s="1"/>
      <c r="B434" s="1"/>
      <c r="C434" s="1"/>
    </row>
    <row r="435" customFormat="false" ht="15.75" hidden="false" customHeight="false" outlineLevel="0" collapsed="false">
      <c r="A435" s="1"/>
      <c r="B435" s="1"/>
      <c r="C435" s="1"/>
    </row>
    <row r="436" customFormat="false" ht="15.75" hidden="false" customHeight="false" outlineLevel="0" collapsed="false">
      <c r="A436" s="1"/>
      <c r="B436" s="1"/>
      <c r="C436" s="1"/>
    </row>
    <row r="437" customFormat="false" ht="15.75" hidden="false" customHeight="false" outlineLevel="0" collapsed="false">
      <c r="A437" s="1"/>
      <c r="B437" s="1"/>
      <c r="C437" s="1"/>
    </row>
    <row r="438" customFormat="false" ht="15.75" hidden="false" customHeight="false" outlineLevel="0" collapsed="false">
      <c r="A438" s="1"/>
      <c r="B438" s="1"/>
      <c r="C438" s="1"/>
    </row>
    <row r="439" customFormat="false" ht="15.75" hidden="false" customHeight="false" outlineLevel="0" collapsed="false">
      <c r="A439" s="1"/>
      <c r="B439" s="1"/>
      <c r="C439" s="1"/>
    </row>
    <row r="440" customFormat="false" ht="15.75" hidden="false" customHeight="false" outlineLevel="0" collapsed="false">
      <c r="A440" s="1"/>
      <c r="B440" s="1"/>
      <c r="C440" s="1"/>
    </row>
    <row r="441" customFormat="false" ht="15.75" hidden="false" customHeight="false" outlineLevel="0" collapsed="false">
      <c r="A441" s="1"/>
      <c r="B441" s="1"/>
      <c r="C441" s="1"/>
    </row>
    <row r="442" customFormat="false" ht="15.75" hidden="false" customHeight="false" outlineLevel="0" collapsed="false">
      <c r="A442" s="1"/>
      <c r="B442" s="1"/>
      <c r="C442" s="1"/>
    </row>
    <row r="443" customFormat="false" ht="15.75" hidden="false" customHeight="false" outlineLevel="0" collapsed="false">
      <c r="A443" s="1"/>
      <c r="B443" s="1"/>
      <c r="C443" s="1"/>
    </row>
    <row r="444" customFormat="false" ht="15.75" hidden="false" customHeight="false" outlineLevel="0" collapsed="false">
      <c r="A444" s="1"/>
      <c r="B444" s="1"/>
      <c r="C444" s="1"/>
    </row>
    <row r="445" customFormat="false" ht="15.75" hidden="false" customHeight="false" outlineLevel="0" collapsed="false">
      <c r="A445" s="1"/>
      <c r="B445" s="1"/>
      <c r="C445" s="1"/>
    </row>
    <row r="446" customFormat="false" ht="15.75" hidden="false" customHeight="false" outlineLevel="0" collapsed="false">
      <c r="A446" s="1"/>
      <c r="B446" s="1"/>
      <c r="C446" s="1"/>
    </row>
    <row r="447" customFormat="false" ht="15.75" hidden="false" customHeight="false" outlineLevel="0" collapsed="false">
      <c r="A447" s="1"/>
      <c r="B447" s="1"/>
      <c r="C447" s="1"/>
    </row>
    <row r="448" customFormat="false" ht="15.75" hidden="false" customHeight="false" outlineLevel="0" collapsed="false">
      <c r="A448" s="1"/>
      <c r="B448" s="1"/>
      <c r="C448" s="1"/>
    </row>
    <row r="449" customFormat="false" ht="15.75" hidden="false" customHeight="false" outlineLevel="0" collapsed="false">
      <c r="A449" s="1"/>
      <c r="B449" s="1"/>
      <c r="C449" s="1"/>
    </row>
    <row r="450" customFormat="false" ht="15.75" hidden="false" customHeight="false" outlineLevel="0" collapsed="false">
      <c r="A450" s="1"/>
      <c r="B450" s="1"/>
      <c r="C450" s="1"/>
    </row>
    <row r="451" customFormat="false" ht="15.75" hidden="false" customHeight="false" outlineLevel="0" collapsed="false">
      <c r="A451" s="1"/>
      <c r="B451" s="1"/>
      <c r="C451" s="1"/>
    </row>
    <row r="452" customFormat="false" ht="15.75" hidden="false" customHeight="false" outlineLevel="0" collapsed="false">
      <c r="A452" s="1"/>
      <c r="B452" s="1"/>
      <c r="C452" s="1"/>
    </row>
    <row r="453" customFormat="false" ht="15.75" hidden="false" customHeight="false" outlineLevel="0" collapsed="false">
      <c r="A453" s="1"/>
      <c r="B453" s="1"/>
      <c r="C453" s="1"/>
    </row>
    <row r="454" customFormat="false" ht="15.75" hidden="false" customHeight="false" outlineLevel="0" collapsed="false">
      <c r="A454" s="1"/>
      <c r="B454" s="1"/>
      <c r="C454" s="1"/>
    </row>
    <row r="455" customFormat="false" ht="15.75" hidden="false" customHeight="false" outlineLevel="0" collapsed="false">
      <c r="A455" s="1"/>
      <c r="B455" s="1"/>
      <c r="C455" s="1"/>
    </row>
    <row r="456" customFormat="false" ht="15.75" hidden="false" customHeight="false" outlineLevel="0" collapsed="false">
      <c r="A456" s="1"/>
      <c r="B456" s="1"/>
      <c r="C456" s="1"/>
    </row>
    <row r="457" customFormat="false" ht="15.75" hidden="false" customHeight="false" outlineLevel="0" collapsed="false">
      <c r="A457" s="1"/>
      <c r="B457" s="1"/>
      <c r="C457" s="1"/>
    </row>
    <row r="458" customFormat="false" ht="15.75" hidden="false" customHeight="false" outlineLevel="0" collapsed="false">
      <c r="A458" s="1"/>
      <c r="B458" s="1"/>
      <c r="C458" s="1"/>
    </row>
    <row r="459" customFormat="false" ht="15.75" hidden="false" customHeight="false" outlineLevel="0" collapsed="false">
      <c r="A459" s="1"/>
      <c r="B459" s="1"/>
      <c r="C459" s="1"/>
    </row>
    <row r="460" customFormat="false" ht="15.75" hidden="false" customHeight="false" outlineLevel="0" collapsed="false">
      <c r="A460" s="1"/>
      <c r="B460" s="1"/>
      <c r="C460" s="1"/>
    </row>
    <row r="461" customFormat="false" ht="15.75" hidden="false" customHeight="false" outlineLevel="0" collapsed="false">
      <c r="A461" s="1"/>
      <c r="B461" s="1"/>
      <c r="C461" s="1"/>
    </row>
    <row r="462" customFormat="false" ht="15.75" hidden="false" customHeight="false" outlineLevel="0" collapsed="false">
      <c r="A462" s="1"/>
      <c r="B462" s="1"/>
      <c r="C462" s="1"/>
    </row>
    <row r="463" customFormat="false" ht="15.75" hidden="false" customHeight="false" outlineLevel="0" collapsed="false">
      <c r="A463" s="1"/>
      <c r="B463" s="1"/>
      <c r="C463" s="1"/>
    </row>
    <row r="464" customFormat="false" ht="15.75" hidden="false" customHeight="false" outlineLevel="0" collapsed="false">
      <c r="A464" s="1"/>
      <c r="B464" s="1"/>
      <c r="C464" s="1"/>
    </row>
    <row r="465" customFormat="false" ht="15.75" hidden="false" customHeight="false" outlineLevel="0" collapsed="false">
      <c r="A465" s="1"/>
      <c r="B465" s="1"/>
      <c r="C465" s="1"/>
    </row>
    <row r="466" customFormat="false" ht="15.75" hidden="false" customHeight="false" outlineLevel="0" collapsed="false">
      <c r="A466" s="1"/>
      <c r="B466" s="1"/>
      <c r="C466" s="1"/>
    </row>
    <row r="467" customFormat="false" ht="15.75" hidden="false" customHeight="false" outlineLevel="0" collapsed="false">
      <c r="A467" s="1"/>
      <c r="B467" s="1"/>
      <c r="C467" s="1"/>
    </row>
    <row r="468" customFormat="false" ht="15.75" hidden="false" customHeight="false" outlineLevel="0" collapsed="false">
      <c r="A468" s="1"/>
      <c r="B468" s="1"/>
      <c r="C468" s="1"/>
    </row>
    <row r="469" customFormat="false" ht="15.75" hidden="false" customHeight="false" outlineLevel="0" collapsed="false">
      <c r="A469" s="1"/>
      <c r="B469" s="1"/>
      <c r="C469" s="1"/>
    </row>
    <row r="470" customFormat="false" ht="15.75" hidden="false" customHeight="false" outlineLevel="0" collapsed="false">
      <c r="A470" s="1"/>
      <c r="B470" s="1"/>
      <c r="C470" s="1"/>
    </row>
    <row r="471" customFormat="false" ht="15.75" hidden="false" customHeight="false" outlineLevel="0" collapsed="false">
      <c r="A471" s="1"/>
      <c r="B471" s="1"/>
      <c r="C471" s="1"/>
    </row>
    <row r="472" customFormat="false" ht="15.75" hidden="false" customHeight="false" outlineLevel="0" collapsed="false">
      <c r="A472" s="1"/>
      <c r="B472" s="1"/>
      <c r="C472" s="1"/>
    </row>
    <row r="473" customFormat="false" ht="15.75" hidden="false" customHeight="false" outlineLevel="0" collapsed="false">
      <c r="A473" s="1"/>
      <c r="B473" s="1"/>
      <c r="C473" s="1"/>
    </row>
    <row r="474" customFormat="false" ht="15.75" hidden="false" customHeight="false" outlineLevel="0" collapsed="false">
      <c r="A474" s="1"/>
      <c r="B474" s="1"/>
      <c r="C474" s="1"/>
    </row>
    <row r="475" customFormat="false" ht="15.75" hidden="false" customHeight="false" outlineLevel="0" collapsed="false">
      <c r="A475" s="1"/>
      <c r="B475" s="1"/>
      <c r="C475" s="1"/>
    </row>
    <row r="476" customFormat="false" ht="15.75" hidden="false" customHeight="false" outlineLevel="0" collapsed="false">
      <c r="A476" s="1"/>
      <c r="B476" s="1"/>
      <c r="C476" s="1"/>
    </row>
    <row r="477" customFormat="false" ht="15.75" hidden="false" customHeight="false" outlineLevel="0" collapsed="false">
      <c r="A477" s="1"/>
      <c r="B477" s="1"/>
      <c r="C477" s="1"/>
    </row>
    <row r="478" customFormat="false" ht="15.75" hidden="false" customHeight="false" outlineLevel="0" collapsed="false">
      <c r="A478" s="1"/>
      <c r="B478" s="1"/>
      <c r="C478" s="1"/>
    </row>
    <row r="479" customFormat="false" ht="15.75" hidden="false" customHeight="false" outlineLevel="0" collapsed="false">
      <c r="A479" s="1"/>
      <c r="B479" s="1"/>
      <c r="C479" s="1"/>
    </row>
    <row r="480" customFormat="false" ht="15.75" hidden="false" customHeight="false" outlineLevel="0" collapsed="false">
      <c r="A480" s="1"/>
      <c r="B480" s="1"/>
      <c r="C480" s="1"/>
    </row>
    <row r="481" customFormat="false" ht="15.75" hidden="false" customHeight="false" outlineLevel="0" collapsed="false">
      <c r="A481" s="1"/>
      <c r="B481" s="1"/>
      <c r="C481" s="1"/>
    </row>
    <row r="482" customFormat="false" ht="15.75" hidden="false" customHeight="false" outlineLevel="0" collapsed="false">
      <c r="A482" s="1"/>
      <c r="B482" s="1"/>
      <c r="C482" s="1"/>
    </row>
    <row r="483" customFormat="false" ht="15.75" hidden="false" customHeight="false" outlineLevel="0" collapsed="false">
      <c r="A483" s="1"/>
      <c r="B483" s="1"/>
      <c r="C483" s="1"/>
    </row>
    <row r="484" customFormat="false" ht="15.75" hidden="false" customHeight="false" outlineLevel="0" collapsed="false">
      <c r="A484" s="1"/>
      <c r="B484" s="1"/>
      <c r="C484" s="1"/>
    </row>
    <row r="485" customFormat="false" ht="15.75" hidden="false" customHeight="false" outlineLevel="0" collapsed="false">
      <c r="A485" s="1"/>
      <c r="B485" s="1"/>
      <c r="C485" s="1"/>
    </row>
    <row r="486" customFormat="false" ht="15.75" hidden="false" customHeight="false" outlineLevel="0" collapsed="false">
      <c r="A486" s="1"/>
      <c r="B486" s="1"/>
      <c r="C486" s="1"/>
    </row>
    <row r="487" customFormat="false" ht="15.75" hidden="false" customHeight="false" outlineLevel="0" collapsed="false">
      <c r="A487" s="1"/>
      <c r="B487" s="1"/>
      <c r="C487" s="1"/>
    </row>
    <row r="488" customFormat="false" ht="15.75" hidden="false" customHeight="false" outlineLevel="0" collapsed="false">
      <c r="A488" s="1"/>
      <c r="B488" s="1"/>
      <c r="C488" s="1"/>
    </row>
    <row r="489" customFormat="false" ht="15.75" hidden="false" customHeight="false" outlineLevel="0" collapsed="false">
      <c r="A489" s="1"/>
      <c r="B489" s="1"/>
      <c r="C489" s="1"/>
    </row>
    <row r="490" customFormat="false" ht="15.75" hidden="false" customHeight="false" outlineLevel="0" collapsed="false">
      <c r="A490" s="1"/>
      <c r="B490" s="1"/>
      <c r="C490" s="1"/>
    </row>
    <row r="491" customFormat="false" ht="15.75" hidden="false" customHeight="false" outlineLevel="0" collapsed="false">
      <c r="A491" s="1"/>
      <c r="B491" s="1"/>
      <c r="C491" s="1"/>
    </row>
    <row r="492" customFormat="false" ht="15.75" hidden="false" customHeight="false" outlineLevel="0" collapsed="false">
      <c r="A492" s="1"/>
      <c r="B492" s="1"/>
      <c r="C492" s="1"/>
    </row>
    <row r="493" customFormat="false" ht="15.75" hidden="false" customHeight="false" outlineLevel="0" collapsed="false">
      <c r="A493" s="1"/>
      <c r="B493" s="1"/>
      <c r="C493" s="1"/>
    </row>
    <row r="494" customFormat="false" ht="15.75" hidden="false" customHeight="false" outlineLevel="0" collapsed="false">
      <c r="A494" s="1"/>
      <c r="B494" s="1"/>
      <c r="C494" s="1"/>
    </row>
    <row r="495" customFormat="false" ht="15.75" hidden="false" customHeight="false" outlineLevel="0" collapsed="false">
      <c r="A495" s="1"/>
      <c r="B495" s="1"/>
      <c r="C495" s="1"/>
    </row>
    <row r="496" customFormat="false" ht="15.75" hidden="false" customHeight="false" outlineLevel="0" collapsed="false">
      <c r="A496" s="1"/>
      <c r="B496" s="1"/>
      <c r="C496" s="1"/>
    </row>
    <row r="497" customFormat="false" ht="15.75" hidden="false" customHeight="false" outlineLevel="0" collapsed="false">
      <c r="A497" s="1"/>
      <c r="B497" s="1"/>
      <c r="C497" s="1"/>
    </row>
    <row r="498" customFormat="false" ht="15.75" hidden="false" customHeight="false" outlineLevel="0" collapsed="false">
      <c r="A498" s="1"/>
      <c r="B498" s="1"/>
      <c r="C498" s="1"/>
    </row>
    <row r="499" customFormat="false" ht="15.75" hidden="false" customHeight="false" outlineLevel="0" collapsed="false">
      <c r="A499" s="1"/>
      <c r="B499" s="1"/>
      <c r="C499" s="1"/>
    </row>
    <row r="500" customFormat="false" ht="15.75" hidden="false" customHeight="false" outlineLevel="0" collapsed="false">
      <c r="A500" s="1"/>
      <c r="B500" s="1"/>
      <c r="C500" s="1"/>
    </row>
    <row r="501" customFormat="false" ht="15.75" hidden="false" customHeight="false" outlineLevel="0" collapsed="false">
      <c r="A501" s="1"/>
      <c r="B501" s="1"/>
      <c r="C501" s="1"/>
    </row>
    <row r="502" customFormat="false" ht="15.75" hidden="false" customHeight="false" outlineLevel="0" collapsed="false">
      <c r="A502" s="1"/>
      <c r="B502" s="1"/>
      <c r="C502" s="1"/>
    </row>
    <row r="503" customFormat="false" ht="15.75" hidden="false" customHeight="false" outlineLevel="0" collapsed="false">
      <c r="A503" s="1"/>
      <c r="B503" s="1"/>
      <c r="C503" s="1"/>
    </row>
    <row r="504" customFormat="false" ht="15.75" hidden="false" customHeight="false" outlineLevel="0" collapsed="false">
      <c r="A504" s="1"/>
      <c r="B504" s="1"/>
      <c r="C504" s="1"/>
    </row>
    <row r="505" customFormat="false" ht="15.75" hidden="false" customHeight="false" outlineLevel="0" collapsed="false">
      <c r="A505" s="1"/>
      <c r="B505" s="1"/>
      <c r="C505" s="1"/>
    </row>
    <row r="506" customFormat="false" ht="15.75" hidden="false" customHeight="false" outlineLevel="0" collapsed="false">
      <c r="A506" s="1"/>
      <c r="B506" s="1"/>
      <c r="C506" s="1"/>
    </row>
    <row r="507" customFormat="false" ht="15.75" hidden="false" customHeight="false" outlineLevel="0" collapsed="false">
      <c r="A507" s="1"/>
      <c r="B507" s="1"/>
      <c r="C507" s="1"/>
    </row>
    <row r="508" customFormat="false" ht="15.75" hidden="false" customHeight="false" outlineLevel="0" collapsed="false">
      <c r="A508" s="1"/>
      <c r="B508" s="1"/>
      <c r="C508" s="1"/>
    </row>
    <row r="509" customFormat="false" ht="15.75" hidden="false" customHeight="false" outlineLevel="0" collapsed="false">
      <c r="A509" s="1"/>
      <c r="B509" s="1"/>
      <c r="C509" s="1"/>
    </row>
    <row r="510" customFormat="false" ht="15.75" hidden="false" customHeight="false" outlineLevel="0" collapsed="false">
      <c r="A510" s="1"/>
      <c r="B510" s="1"/>
      <c r="C510" s="1"/>
    </row>
    <row r="511" customFormat="false" ht="15.75" hidden="false" customHeight="false" outlineLevel="0" collapsed="false">
      <c r="A511" s="1"/>
      <c r="B511" s="1"/>
      <c r="C511" s="1"/>
    </row>
    <row r="512" customFormat="false" ht="15.75" hidden="false" customHeight="false" outlineLevel="0" collapsed="false">
      <c r="A512" s="1"/>
      <c r="B512" s="1"/>
      <c r="C512" s="1"/>
    </row>
    <row r="513" customFormat="false" ht="15.75" hidden="false" customHeight="false" outlineLevel="0" collapsed="false">
      <c r="A513" s="1"/>
      <c r="B513" s="1"/>
      <c r="C513" s="1"/>
    </row>
    <row r="514" customFormat="false" ht="15.75" hidden="false" customHeight="false" outlineLevel="0" collapsed="false">
      <c r="A514" s="1"/>
      <c r="B514" s="1"/>
      <c r="C514" s="1"/>
    </row>
    <row r="515" customFormat="false" ht="15.75" hidden="false" customHeight="false" outlineLevel="0" collapsed="false">
      <c r="A515" s="1"/>
      <c r="B515" s="1"/>
      <c r="C515" s="1"/>
    </row>
    <row r="516" customFormat="false" ht="15.75" hidden="false" customHeight="false" outlineLevel="0" collapsed="false">
      <c r="A516" s="1"/>
      <c r="B516" s="1"/>
      <c r="C516" s="1"/>
    </row>
    <row r="517" customFormat="false" ht="15.75" hidden="false" customHeight="false" outlineLevel="0" collapsed="false">
      <c r="A517" s="1"/>
      <c r="B517" s="1"/>
      <c r="C517" s="1"/>
    </row>
    <row r="518" customFormat="false" ht="15.75" hidden="false" customHeight="false" outlineLevel="0" collapsed="false">
      <c r="A518" s="1"/>
      <c r="B518" s="1"/>
      <c r="C518" s="1"/>
    </row>
    <row r="519" customFormat="false" ht="15.75" hidden="false" customHeight="false" outlineLevel="0" collapsed="false">
      <c r="A519" s="1"/>
      <c r="B519" s="1"/>
      <c r="C519" s="1"/>
    </row>
    <row r="520" customFormat="false" ht="15.75" hidden="false" customHeight="false" outlineLevel="0" collapsed="false">
      <c r="A520" s="1"/>
      <c r="B520" s="1"/>
      <c r="C520" s="1"/>
    </row>
    <row r="521" customFormat="false" ht="15.75" hidden="false" customHeight="false" outlineLevel="0" collapsed="false">
      <c r="A521" s="1"/>
      <c r="B521" s="1"/>
      <c r="C521" s="1"/>
    </row>
    <row r="522" customFormat="false" ht="15.75" hidden="false" customHeight="false" outlineLevel="0" collapsed="false">
      <c r="A522" s="1"/>
      <c r="B522" s="1"/>
      <c r="C522" s="1"/>
    </row>
    <row r="523" customFormat="false" ht="15.75" hidden="false" customHeight="false" outlineLevel="0" collapsed="false">
      <c r="A523" s="1"/>
      <c r="B523" s="1"/>
      <c r="C523" s="1"/>
    </row>
    <row r="524" customFormat="false" ht="15.75" hidden="false" customHeight="false" outlineLevel="0" collapsed="false">
      <c r="A524" s="1"/>
      <c r="B524" s="1"/>
      <c r="C524" s="1"/>
    </row>
    <row r="525" customFormat="false" ht="15.75" hidden="false" customHeight="false" outlineLevel="0" collapsed="false">
      <c r="A525" s="1"/>
      <c r="B525" s="1"/>
      <c r="C525" s="1"/>
    </row>
    <row r="526" customFormat="false" ht="15.75" hidden="false" customHeight="false" outlineLevel="0" collapsed="false">
      <c r="A526" s="1"/>
      <c r="B526" s="1"/>
      <c r="C526" s="1"/>
    </row>
    <row r="527" customFormat="false" ht="15.75" hidden="false" customHeight="false" outlineLevel="0" collapsed="false">
      <c r="A527" s="1"/>
      <c r="B527" s="1"/>
      <c r="C527" s="1"/>
    </row>
    <row r="528" customFormat="false" ht="15.75" hidden="false" customHeight="false" outlineLevel="0" collapsed="false">
      <c r="A528" s="1"/>
      <c r="B528" s="1"/>
      <c r="C528" s="1"/>
    </row>
    <row r="529" customFormat="false" ht="15.75" hidden="false" customHeight="false" outlineLevel="0" collapsed="false">
      <c r="A529" s="1"/>
      <c r="B529" s="1"/>
      <c r="C529" s="1"/>
    </row>
    <row r="530" customFormat="false" ht="15.75" hidden="false" customHeight="false" outlineLevel="0" collapsed="false">
      <c r="A530" s="1"/>
      <c r="B530" s="1"/>
      <c r="C530" s="1"/>
    </row>
    <row r="531" customFormat="false" ht="15.75" hidden="false" customHeight="false" outlineLevel="0" collapsed="false">
      <c r="A531" s="1"/>
      <c r="B531" s="1"/>
      <c r="C531" s="1"/>
    </row>
    <row r="532" customFormat="false" ht="15.75" hidden="false" customHeight="false" outlineLevel="0" collapsed="false">
      <c r="A532" s="1"/>
      <c r="B532" s="1"/>
      <c r="C532" s="1"/>
    </row>
    <row r="533" customFormat="false" ht="15.75" hidden="false" customHeight="false" outlineLevel="0" collapsed="false">
      <c r="A533" s="1"/>
      <c r="B533" s="1"/>
      <c r="C533" s="1"/>
    </row>
    <row r="534" customFormat="false" ht="15.75" hidden="false" customHeight="false" outlineLevel="0" collapsed="false">
      <c r="A534" s="1"/>
      <c r="B534" s="1"/>
      <c r="C534" s="1"/>
    </row>
    <row r="535" customFormat="false" ht="15.75" hidden="false" customHeight="false" outlineLevel="0" collapsed="false">
      <c r="A535" s="1"/>
      <c r="B535" s="1"/>
      <c r="C535" s="1"/>
    </row>
    <row r="536" customFormat="false" ht="15.75" hidden="false" customHeight="false" outlineLevel="0" collapsed="false">
      <c r="A536" s="1"/>
      <c r="B536" s="1"/>
      <c r="C536" s="1"/>
    </row>
    <row r="537" customFormat="false" ht="15.75" hidden="false" customHeight="false" outlineLevel="0" collapsed="false">
      <c r="A537" s="1"/>
      <c r="B537" s="1"/>
      <c r="C537" s="1"/>
    </row>
    <row r="538" customFormat="false" ht="15.75" hidden="false" customHeight="false" outlineLevel="0" collapsed="false">
      <c r="A538" s="1"/>
      <c r="B538" s="1"/>
      <c r="C538" s="1"/>
    </row>
    <row r="539" customFormat="false" ht="15.75" hidden="false" customHeight="false" outlineLevel="0" collapsed="false">
      <c r="A539" s="1"/>
      <c r="B539" s="1"/>
      <c r="C539" s="1"/>
    </row>
    <row r="540" customFormat="false" ht="15.75" hidden="false" customHeight="false" outlineLevel="0" collapsed="false">
      <c r="A540" s="1"/>
      <c r="B540" s="1"/>
      <c r="C540" s="1"/>
    </row>
    <row r="541" customFormat="false" ht="15.75" hidden="false" customHeight="false" outlineLevel="0" collapsed="false">
      <c r="A541" s="1"/>
      <c r="B541" s="1"/>
      <c r="C541" s="1"/>
    </row>
    <row r="542" customFormat="false" ht="15.75" hidden="false" customHeight="false" outlineLevel="0" collapsed="false">
      <c r="A542" s="1"/>
      <c r="B542" s="1"/>
      <c r="C542" s="1"/>
    </row>
    <row r="543" customFormat="false" ht="15.75" hidden="false" customHeight="false" outlineLevel="0" collapsed="false">
      <c r="A543" s="1"/>
      <c r="B543" s="1"/>
      <c r="C543" s="1"/>
    </row>
    <row r="544" customFormat="false" ht="15.75" hidden="false" customHeight="false" outlineLevel="0" collapsed="false">
      <c r="A544" s="1"/>
      <c r="B544" s="1"/>
      <c r="C544" s="1"/>
    </row>
    <row r="545" customFormat="false" ht="15.75" hidden="false" customHeight="false" outlineLevel="0" collapsed="false">
      <c r="A545" s="1"/>
      <c r="B545" s="1"/>
      <c r="C545" s="1"/>
    </row>
    <row r="546" customFormat="false" ht="15.75" hidden="false" customHeight="false" outlineLevel="0" collapsed="false">
      <c r="A546" s="1"/>
      <c r="B546" s="1"/>
      <c r="C546" s="1"/>
    </row>
    <row r="547" customFormat="false" ht="15.75" hidden="false" customHeight="false" outlineLevel="0" collapsed="false">
      <c r="A547" s="1"/>
      <c r="B547" s="1"/>
      <c r="C547" s="1"/>
    </row>
    <row r="548" customFormat="false" ht="15.75" hidden="false" customHeight="false" outlineLevel="0" collapsed="false">
      <c r="A548" s="1"/>
      <c r="B548" s="1"/>
      <c r="C548" s="1"/>
    </row>
    <row r="549" customFormat="false" ht="15.75" hidden="false" customHeight="false" outlineLevel="0" collapsed="false">
      <c r="A549" s="1"/>
      <c r="B549" s="1"/>
      <c r="C549" s="1"/>
    </row>
    <row r="550" customFormat="false" ht="15.75" hidden="false" customHeight="false" outlineLevel="0" collapsed="false">
      <c r="A550" s="1"/>
      <c r="B550" s="1"/>
      <c r="C550" s="1"/>
    </row>
    <row r="551" customFormat="false" ht="15.75" hidden="false" customHeight="false" outlineLevel="0" collapsed="false">
      <c r="A551" s="1"/>
      <c r="B551" s="1"/>
      <c r="C551" s="1"/>
    </row>
    <row r="552" customFormat="false" ht="15.75" hidden="false" customHeight="false" outlineLevel="0" collapsed="false">
      <c r="A552" s="1"/>
      <c r="B552" s="1"/>
      <c r="C552" s="1"/>
    </row>
    <row r="553" customFormat="false" ht="15.75" hidden="false" customHeight="false" outlineLevel="0" collapsed="false">
      <c r="A553" s="1"/>
      <c r="B553" s="1"/>
      <c r="C553" s="1"/>
    </row>
    <row r="554" customFormat="false" ht="15.75" hidden="false" customHeight="false" outlineLevel="0" collapsed="false">
      <c r="A554" s="1"/>
      <c r="B554" s="1"/>
      <c r="C554" s="1"/>
    </row>
    <row r="555" customFormat="false" ht="15.75" hidden="false" customHeight="false" outlineLevel="0" collapsed="false">
      <c r="A555" s="1"/>
      <c r="B555" s="1"/>
      <c r="C55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2026-09-01T23:15:47Z</dcterms:modified>
  <cp:revision>3</cp:revision>
  <dc:subject/>
  <dc:title/>
</cp:coreProperties>
</file>